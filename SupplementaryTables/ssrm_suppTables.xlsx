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pennstateoffice365.sharepoint.com/sites/A8-VT-Grembi_Lab/Shared Documents/01_Projects/SSRB_manuscript/"/>
    </mc:Choice>
  </mc:AlternateContent>
  <xr:revisionPtr revIDLastSave="0" documentId="8_{E14E7D95-CE5A-4011-861B-E900C582BD55}" xr6:coauthVersionLast="47" xr6:coauthVersionMax="47" xr10:uidLastSave="{00000000-0000-0000-0000-000000000000}"/>
  <bookViews>
    <workbookView xWindow="43840" yWindow="10900" windowWidth="27640" windowHeight="16740" firstSheet="2" activeTab="1" xr2:uid="{C171AF22-812F-0C42-B48C-B2ABBD8475A5}"/>
  </bookViews>
  <sheets>
    <sheet name="SuppTable1" sheetId="4" r:id="rId1"/>
    <sheet name="SuppTable2" sheetId="1" r:id="rId2"/>
    <sheet name="SuppTable3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9" i="4" l="1"/>
  <c r="E59" i="4"/>
</calcChain>
</file>

<file path=xl/sharedStrings.xml><?xml version="1.0" encoding="utf-8"?>
<sst xmlns="http://schemas.openxmlformats.org/spreadsheetml/2006/main" count="527" uniqueCount="308">
  <si>
    <t>FILTER SETS FOR 2022</t>
  </si>
  <si>
    <t>filter set name</t>
  </si>
  <si>
    <t>date searched</t>
  </si>
  <si>
    <t>facet</t>
  </si>
  <si>
    <t>tag</t>
  </si>
  <si>
    <t># of biosamples</t>
  </si>
  <si>
    <t># of biosampels after "NZ_" prefix removed</t>
  </si>
  <si>
    <t># of biosamples after removing duplicates</t>
  </si>
  <si>
    <t>notes</t>
  </si>
  <si>
    <t>none</t>
  </si>
  <si>
    <t>--</t>
  </si>
  <si>
    <t>no filter; total # of projects in WGS database</t>
  </si>
  <si>
    <t>organism_hgm</t>
  </si>
  <si>
    <t>organism</t>
  </si>
  <si>
    <t>human gut metagenome</t>
  </si>
  <si>
    <t>metagenomesource_hgm</t>
  </si>
  <si>
    <t>metagenome source</t>
  </si>
  <si>
    <t>human gut stool metagenome</t>
  </si>
  <si>
    <t>isolationsource_stool</t>
  </si>
  <si>
    <t>host</t>
  </si>
  <si>
    <t>homo sapiens</t>
  </si>
  <si>
    <t>isolation source</t>
  </si>
  <si>
    <t>stool</t>
  </si>
  <si>
    <t>stool sample</t>
  </si>
  <si>
    <t>stool/fecal</t>
  </si>
  <si>
    <t>stool, clinical</t>
  </si>
  <si>
    <t>stools</t>
  </si>
  <si>
    <t>stool sample (feces)</t>
  </si>
  <si>
    <t>stool from individual ak</t>
  </si>
  <si>
    <t>stool sample of individual with bacteremia</t>
  </si>
  <si>
    <t>stool culture</t>
  </si>
  <si>
    <t>stool sample from patient with cholera</t>
  </si>
  <si>
    <t>stool from individual t</t>
  </si>
  <si>
    <t>stool samples</t>
  </si>
  <si>
    <t xml:space="preserve">stool isolate </t>
  </si>
  <si>
    <t>stool from individual ap</t>
  </si>
  <si>
    <t>stool from neonate</t>
  </si>
  <si>
    <t>isolationsource_feces</t>
  </si>
  <si>
    <t>feces</t>
  </si>
  <si>
    <t>fecal sample</t>
  </si>
  <si>
    <t>fecal material</t>
  </si>
  <si>
    <t>fecal</t>
  </si>
  <si>
    <t>fecal swab</t>
  </si>
  <si>
    <t>feces or rectal swab</t>
  </si>
  <si>
    <t>feces from female</t>
  </si>
  <si>
    <t>isolationsource_gut</t>
  </si>
  <si>
    <t>gut</t>
  </si>
  <si>
    <t>gut microbiota</t>
  </si>
  <si>
    <t>isolationsource_intestin</t>
  </si>
  <si>
    <t>intestine</t>
  </si>
  <si>
    <t>intestinal tract</t>
  </si>
  <si>
    <t>isolationsource_rectum</t>
  </si>
  <si>
    <t>rectal swab</t>
  </si>
  <si>
    <t>rectum</t>
  </si>
  <si>
    <t>rectal</t>
  </si>
  <si>
    <t>rectal swab/stool</t>
  </si>
  <si>
    <t>rectal swab neonate</t>
  </si>
  <si>
    <t>isolationsource_misc</t>
  </si>
  <si>
    <t>human gut</t>
  </si>
  <si>
    <t>perirectal swab</t>
  </si>
  <si>
    <t>infant feces</t>
  </si>
  <si>
    <t>gastric biopsy</t>
  </si>
  <si>
    <t>maternal feces</t>
  </si>
  <si>
    <t>gastric biopsies</t>
  </si>
  <si>
    <t>gastric biopsy specimen</t>
  </si>
  <si>
    <t>human stool</t>
  </si>
  <si>
    <t>human feces</t>
  </si>
  <si>
    <t>isolationsource_stomach</t>
  </si>
  <si>
    <t>stomach</t>
  </si>
  <si>
    <t>stomach biopsy</t>
  </si>
  <si>
    <t>isolationsource_faec</t>
  </si>
  <si>
    <t>faeces</t>
  </si>
  <si>
    <t>TOTAL</t>
  </si>
  <si>
    <t>Project accession</t>
  </si>
  <si>
    <t>Number of biosamples</t>
  </si>
  <si>
    <t>Description of project</t>
  </si>
  <si>
    <t>Age category (under or over 3)</t>
  </si>
  <si>
    <t>Country</t>
  </si>
  <si>
    <t>Disease states involved</t>
  </si>
  <si>
    <t>PRJNA354235</t>
  </si>
  <si>
    <t>Human gut metagenome raw sequence reads</t>
  </si>
  <si>
    <t>over 3</t>
  </si>
  <si>
    <t>United States of America</t>
  </si>
  <si>
    <t>No reported disease state</t>
  </si>
  <si>
    <t>PRJNA290380</t>
  </si>
  <si>
    <t>Metagenomes from children in the DIABIMMUNE cohort, followed from birth to age 3</t>
  </si>
  <si>
    <t>under 3</t>
  </si>
  <si>
    <t>Estonia, Finland, and Russia</t>
  </si>
  <si>
    <t>Autoimmunity and allergies</t>
  </si>
  <si>
    <t>PRJEB6456</t>
  </si>
  <si>
    <t>InfantGut: Dynamics and Stabilization of the Human Gut Microbiome during the First Year of Life</t>
  </si>
  <si>
    <t>Denmark or Sweden</t>
  </si>
  <si>
    <t>PRJNA301903</t>
  </si>
  <si>
    <t>Metagenomic sequencing of preterm infant gut microbiota raw sequence reads</t>
  </si>
  <si>
    <t>Premature birth</t>
  </si>
  <si>
    <t>PRJNA422434</t>
  </si>
  <si>
    <t>A metagenome-wide association study (MGWAS) of gut microbiota in type 2 diabetes</t>
  </si>
  <si>
    <t>China</t>
  </si>
  <si>
    <t>Type 2 diabetes</t>
  </si>
  <si>
    <t>PRJEB4336</t>
  </si>
  <si>
    <t>Richness of human gut microbiome correlates with metabolic markers</t>
  </si>
  <si>
    <t>Denmark</t>
  </si>
  <si>
    <t>Obesity</t>
  </si>
  <si>
    <t>PRJEB12123</t>
  </si>
  <si>
    <t>MGWAS on fecal samples: gut microbial dysbiosis in young adults with obesity</t>
  </si>
  <si>
    <t>PRJEB5224</t>
  </si>
  <si>
    <t>Human gut metagenome from stool samples; integrated catalog of reference genes in the human gut microbiome</t>
  </si>
  <si>
    <t>Spain and Denmark</t>
  </si>
  <si>
    <t>Irritable bowel disease and/or obesity possible</t>
  </si>
  <si>
    <t>PRJEB1220</t>
  </si>
  <si>
    <t>Method for identifying metagenomic species and variable genetic elements by exhaustive co-abundance binning</t>
  </si>
  <si>
    <t>In Spanish individuals: Crohn's disease and Ulcerative colitis</t>
  </si>
  <si>
    <t>PRJEB6997</t>
  </si>
  <si>
    <t>Gut microbiome dysbiosis in Rheumatoid arthritis (RA)</t>
  </si>
  <si>
    <t>Rheumatoid arthritis</t>
  </si>
  <si>
    <t>PRJDB3601</t>
  </si>
  <si>
    <t>Metagenomics of Japanese gut microbiomes</t>
  </si>
  <si>
    <t>Japan</t>
  </si>
  <si>
    <t>PRJNA356102</t>
  </si>
  <si>
    <t>Human gut metagenome in RA; this does not make sense since it says ankylosing spondylitis patient</t>
  </si>
  <si>
    <t>PRJEB7774</t>
  </si>
  <si>
    <t>MGWAS on stools from healthy controls, advanced adenoma and carcinoma patients</t>
  </si>
  <si>
    <t>Austria</t>
  </si>
  <si>
    <t>Colorectal cancer</t>
  </si>
  <si>
    <t>PRJNA356225</t>
  </si>
  <si>
    <t>Metagenomic sequencing; bacterial diversity of stool samples from  Vogt-Koyanagi-Harada disease patients</t>
  </si>
  <si>
    <t>Vogt-Koyanagi-Harada disease</t>
  </si>
  <si>
    <t>PRJEB10878</t>
  </si>
  <si>
    <t>MGWAS on fecal samples from 74 CRC patients and 54 controls from China</t>
  </si>
  <si>
    <t>PRJNA305507</t>
  </si>
  <si>
    <t>Metagenomic sequencing to identify and measure the abundances of microorganisms present in stool samples from athletes</t>
  </si>
  <si>
    <t>PRJEB12449</t>
  </si>
  <si>
    <t>Stool shotgun metagenomics from study looking at association between gut microbiome and CRC</t>
  </si>
  <si>
    <t>PRJEB15111</t>
  </si>
  <si>
    <t>Identifying microbial metabolites associated with coronary heart disease; stool samples were collected in addition to the urine and plasma samples</t>
  </si>
  <si>
    <t>Coronary heart disease</t>
  </si>
  <si>
    <t>PRJNA353560</t>
  </si>
  <si>
    <t>Human gut microbiome in AS</t>
  </si>
  <si>
    <t>Ankylosing spondylitis</t>
  </si>
  <si>
    <t>PRJNA290729</t>
  </si>
  <si>
    <t>Characterization of the distal gut microbiota in obese patients following a weight-loss intervention using whole metagenome shotgun sequencing</t>
  </si>
  <si>
    <t>Germany</t>
  </si>
  <si>
    <t>PRJEB28245</t>
  </si>
  <si>
    <t>Assemblies of 760 MetaHIT metagenomes used in a pangenomic study</t>
  </si>
  <si>
    <t>PRJNA324129</t>
  </si>
  <si>
    <t>Human fecal microbiome before and after consumption of AH1206</t>
  </si>
  <si>
    <t>PRJEB17784</t>
  </si>
  <si>
    <t>Comparing fecal microbiomes of L-DOPA-naïve PD subjects to controls by metagenomic analysis</t>
  </si>
  <si>
    <t>Early stage, L-DOPA naïve PD patients</t>
  </si>
  <si>
    <t>PRJNA268964</t>
  </si>
  <si>
    <t>Human gut microbiome metagenome, gut microbiome diversity</t>
  </si>
  <si>
    <t>N/A</t>
  </si>
  <si>
    <t>Peru and United States of America</t>
  </si>
  <si>
    <t>PRJEB12357</t>
  </si>
  <si>
    <t>Shotgun sequencing after fecal microbiota transplant (FMT)</t>
  </si>
  <si>
    <t>Netherlands</t>
  </si>
  <si>
    <t>Metabolic syndrome</t>
  </si>
  <si>
    <t>PRJNA289586</t>
  </si>
  <si>
    <t>Human Gut Microbiome in a multiplex family study of Type 1 Diabetes Mellitus</t>
  </si>
  <si>
    <t>Luxembourg</t>
  </si>
  <si>
    <t>Type 1 diabetes</t>
  </si>
  <si>
    <t>PRJNA321058</t>
  </si>
  <si>
    <t>Increased intestinal microbial diversity following FMT for active Crohn's disease</t>
  </si>
  <si>
    <t>Crohn's disease and fecal microbiota transplant</t>
  </si>
  <si>
    <t>PRJNA273761</t>
  </si>
  <si>
    <t>Metagenomes from human infant fecal samples with and without necrotizing enterocolitis</t>
  </si>
  <si>
    <t>Necrotizing enterocolitis</t>
  </si>
  <si>
    <t>PRJEB9150</t>
  </si>
  <si>
    <t>Examining microbiota after cholera infection</t>
  </si>
  <si>
    <t>Bangladesh</t>
  </si>
  <si>
    <t>Cholera</t>
  </si>
  <si>
    <t>PRJNA278393</t>
  </si>
  <si>
    <t>Metagenome sequencing of the Hadza hunter-gatherer gut microbiota</t>
  </si>
  <si>
    <t>Tanzania and Italy</t>
  </si>
  <si>
    <t>PRJNA299502</t>
  </si>
  <si>
    <t>Gut microbiome diversity among the Cheyenne &amp; Arapaho of Oklahoma</t>
  </si>
  <si>
    <t>PRJNA327106</t>
  </si>
  <si>
    <t>Raw reads of the microbiota of premature infant gut</t>
  </si>
  <si>
    <t>PRJNA396794</t>
  </si>
  <si>
    <t>Preterm infant gut metagenomes</t>
  </si>
  <si>
    <t>PRJEB12947</t>
  </si>
  <si>
    <t>Changes in taxonomy and functional potential after Roux-en-Y gastric bypass</t>
  </si>
  <si>
    <t>PRJNA382011</t>
  </si>
  <si>
    <t>Comprehensive metagenomic study of the fecal microbiomes from 23 TD patients and seven healthy travelers</t>
  </si>
  <si>
    <t>Mexico and India</t>
  </si>
  <si>
    <t>Traveler's diarrhea</t>
  </si>
  <si>
    <t>PRJNA524170</t>
  </si>
  <si>
    <t>Resistant microbiome underlies antibiotic therapy in pouchitis</t>
  </si>
  <si>
    <t>Israel</t>
  </si>
  <si>
    <t>Pouchitis</t>
  </si>
  <si>
    <t>PRJNA177201</t>
  </si>
  <si>
    <t>Symptomatic atherosclerosis gut metagenome</t>
  </si>
  <si>
    <t>Atherosclerosis</t>
  </si>
  <si>
    <t>PRJEB6092</t>
  </si>
  <si>
    <t>Metagenome fecal microbiota from diet study</t>
  </si>
  <si>
    <t>Australia</t>
  </si>
  <si>
    <t>PRJNA283642</t>
  </si>
  <si>
    <t>Gut microbiome profiling of pediatric patients undergoing stem cell transplantation</t>
  </si>
  <si>
    <t>Intestinal graft-versus-host disease</t>
  </si>
  <si>
    <t>PRJNA339012</t>
  </si>
  <si>
    <r>
      <t xml:space="preserve">Metagenomics analysis of donor and recepient samples from FMT for recurrent </t>
    </r>
    <r>
      <rPr>
        <i/>
        <sz val="12"/>
        <color theme="1"/>
        <rFont val="Aptos Narrow"/>
        <family val="2"/>
        <scheme val="minor"/>
      </rPr>
      <t>Clostridium difficile</t>
    </r>
    <r>
      <rPr>
        <sz val="12"/>
        <color theme="1"/>
        <rFont val="Aptos Narrow"/>
        <family val="2"/>
        <scheme val="minor"/>
      </rPr>
      <t xml:space="preserve"> infection</t>
    </r>
  </si>
  <si>
    <r>
      <rPr>
        <i/>
        <sz val="12"/>
        <color theme="1"/>
        <rFont val="Aptos Narrow"/>
        <family val="2"/>
        <scheme val="minor"/>
      </rPr>
      <t>Clostridioides difficile</t>
    </r>
    <r>
      <rPr>
        <sz val="12"/>
        <color theme="1"/>
        <rFont val="Aptos Narrow"/>
        <family val="2"/>
        <scheme val="minor"/>
      </rPr>
      <t xml:space="preserve"> infection and fecal microbiota transplant</t>
    </r>
  </si>
  <si>
    <t>PRJNA28117</t>
  </si>
  <si>
    <t>Gut metagenomes collected from 13 healthy individuals</t>
  </si>
  <si>
    <t>both</t>
  </si>
  <si>
    <t>PRJNA508395</t>
  </si>
  <si>
    <t>Nanopore long read assembly of the human gut metagenome</t>
  </si>
  <si>
    <t>PRJNA272371</t>
  </si>
  <si>
    <t>Fecal microbiome of eczema children</t>
  </si>
  <si>
    <t>India, Malaysia, China</t>
  </si>
  <si>
    <t>Eczema</t>
  </si>
  <si>
    <t>PRJNA294605</t>
  </si>
  <si>
    <t>Metagenomes from 11 human infant fecal samples; hospitalized in the same ICU</t>
  </si>
  <si>
    <t>Infants in ICU</t>
  </si>
  <si>
    <t>PRJNA311208</t>
  </si>
  <si>
    <t>Prospective cohort study using metagenomics to characterize gut microbiota populations of pediatric short bowel syndrome</t>
  </si>
  <si>
    <t>Short bowel syndrome</t>
  </si>
  <si>
    <t>PRJNA353655</t>
  </si>
  <si>
    <t>De novo reconstruction of bacterial genomes allows high-resolution tracking of microbial colonization in FMT experiments</t>
  </si>
  <si>
    <t>Fecal microbiota transplant</t>
  </si>
  <si>
    <t>PRJNA627086</t>
  </si>
  <si>
    <t>Proximity ligation based characterization of 10 human gut samples</t>
  </si>
  <si>
    <t>PRJEB15371</t>
  </si>
  <si>
    <t>Metagenomic shotgun sequencing; impact of EEN on Crohn's disease microbiome</t>
  </si>
  <si>
    <t>Crohn's disease</t>
  </si>
  <si>
    <t>PRJNA288562</t>
  </si>
  <si>
    <t>Temporal and spatial variation of the human microbiota during pregnancy</t>
  </si>
  <si>
    <t xml:space="preserve">over 3 </t>
  </si>
  <si>
    <t>Pregnancy</t>
  </si>
  <si>
    <t>PRJNA298362</t>
  </si>
  <si>
    <t>Functional dynamics of the elderly gut microbiome during probiotic consumption</t>
  </si>
  <si>
    <t>PRJNA321753</t>
  </si>
  <si>
    <r>
      <t xml:space="preserve">Stool shotgun metagenomics from two geographically isolated </t>
    </r>
    <r>
      <rPr>
        <i/>
        <sz val="12"/>
        <color theme="1"/>
        <rFont val="Aptos Narrow"/>
        <scheme val="minor"/>
      </rPr>
      <t xml:space="preserve">Salmonella enterica </t>
    </r>
    <r>
      <rPr>
        <sz val="12"/>
        <color theme="1"/>
        <rFont val="Aptos Narrow"/>
        <family val="2"/>
        <scheme val="minor"/>
      </rPr>
      <t>serovar Heidelberg outbreaks</t>
    </r>
  </si>
  <si>
    <r>
      <rPr>
        <i/>
        <sz val="12"/>
        <color theme="1"/>
        <rFont val="Aptos Narrow"/>
        <scheme val="minor"/>
      </rPr>
      <t xml:space="preserve">Salmonella </t>
    </r>
    <r>
      <rPr>
        <sz val="12"/>
        <color theme="1"/>
        <rFont val="Aptos Narrow"/>
        <scheme val="minor"/>
      </rPr>
      <t>Heidelberg infection</t>
    </r>
  </si>
  <si>
    <t>Shotgun metagenomic data from stool samples collected from four pairs of matched T1D case-control subjects</t>
  </si>
  <si>
    <t>Finland</t>
  </si>
  <si>
    <t>PRJNA434731</t>
  </si>
  <si>
    <t>Metagenome or environmental sample from human gut metagenome, assemblies included</t>
  </si>
  <si>
    <t>Hematopoeietic cell transplantation</t>
  </si>
  <si>
    <t>PRJEB20539</t>
  </si>
  <si>
    <t>Metagenomic sequencing of the microbiota obtained from fecal samples from 6 healthy humans; investigating role of spore-forming bacteria</t>
  </si>
  <si>
    <t>PRJNA308846</t>
  </si>
  <si>
    <t>Human fecal samples raw sequence reads</t>
  </si>
  <si>
    <t>PRJNA298489</t>
  </si>
  <si>
    <t>Investigates how library preparation and sequencing protocol influence the taxonomy and function analysis of microbial species in human microbiome research</t>
  </si>
  <si>
    <t>PRJNA324672</t>
  </si>
  <si>
    <t>Gut metagenomes were isolated from people living in the Central region of Russia</t>
  </si>
  <si>
    <t>Russia</t>
  </si>
  <si>
    <t>PRJNA243036 </t>
  </si>
  <si>
    <t>Systematic comparison of the DNA extraction methods on fecal samples</t>
  </si>
  <si>
    <t>Gut microbiota of a morbidly obese human</t>
  </si>
  <si>
    <t>PRJNA380276</t>
  </si>
  <si>
    <t>Human gut metagenome, marine sediment metagenome, and synthetic metagenome; our samples are human metagenome assemblies</t>
  </si>
  <si>
    <t>PRJNA16729</t>
  </si>
  <si>
    <t>A metagenomic study of the microorganisms in the human distal gut</t>
  </si>
  <si>
    <t>PRJNA221723</t>
  </si>
  <si>
    <t>Gut metagenome of a premature infant isolated from fecal samples</t>
  </si>
  <si>
    <t>PRJNA287207</t>
  </si>
  <si>
    <t>Evaluation of vertical transmission between mother-infant</t>
  </si>
  <si>
    <t>Italy</t>
  </si>
  <si>
    <t>PRJNA423297</t>
  </si>
  <si>
    <t>Human gut microbiome in irritable bowel disease</t>
  </si>
  <si>
    <t>Irritable bowel disease</t>
  </si>
  <si>
    <t>PRJNA684904</t>
  </si>
  <si>
    <t>Human gut metagenome sequencing and assembly</t>
  </si>
  <si>
    <t>South Africa</t>
  </si>
  <si>
    <t>Diarrhea</t>
  </si>
  <si>
    <t>3rd week of life of a premature male infant; metagenome</t>
  </si>
  <si>
    <t>PRJEB23711</t>
  </si>
  <si>
    <t>Infant gut microbiome study</t>
  </si>
  <si>
    <t>Singapore</t>
  </si>
  <si>
    <t>PRJNA321218</t>
  </si>
  <si>
    <t>Human gut and groundwater harbor non-photosynthetic bacteria</t>
  </si>
  <si>
    <t>United Kingdom</t>
  </si>
  <si>
    <t>PRJNA343144</t>
  </si>
  <si>
    <t>Infant gut microbiome metagenomic assembly</t>
  </si>
  <si>
    <t>PRJNA482702</t>
  </si>
  <si>
    <t>Human metagenome isolated from feces of healthy adult male</t>
  </si>
  <si>
    <t>PRJNA60717</t>
  </si>
  <si>
    <t>Metagenomic analysis of infant stool sample; a premature infant born at 28 weeks</t>
  </si>
  <si>
    <t>Cluster Rep</t>
  </si>
  <si>
    <t>Species 1</t>
  </si>
  <si>
    <t>Species 2</t>
  </si>
  <si>
    <t>Blast percent ID</t>
  </si>
  <si>
    <t>Bilophila_wadsworthia__BilWads6</t>
  </si>
  <si>
    <t>BilSpec3</t>
  </si>
  <si>
    <t>BilWads6</t>
  </si>
  <si>
    <t>Desulfovibrio_piger__DslPige3</t>
  </si>
  <si>
    <t>DslPige3</t>
  </si>
  <si>
    <t>DslPige4</t>
  </si>
  <si>
    <t># results copied from blast_015.out files, excluding repeats and pairs between the same species</t>
  </si>
  <si>
    <t>DslPige2</t>
  </si>
  <si>
    <t>Desulfovibrio_sp._6_1_46AFAA__DsvSp231</t>
  </si>
  <si>
    <t>DsvSp230</t>
  </si>
  <si>
    <t>DsvSp231</t>
  </si>
  <si>
    <t>DsvSp233</t>
  </si>
  <si>
    <t>Gordonibacter_pamelaeae__GrdPame5</t>
  </si>
  <si>
    <t>GrdPame5</t>
  </si>
  <si>
    <t>FP929047</t>
  </si>
  <si>
    <t>uncultured_bacterium__EF645667</t>
  </si>
  <si>
    <t>EF645667</t>
  </si>
  <si>
    <t>EF645664</t>
  </si>
  <si>
    <t>EF645665</t>
  </si>
  <si>
    <t>DslSimpl</t>
  </si>
  <si>
    <t>DslAfri3</t>
  </si>
  <si>
    <t>DslDes17</t>
  </si>
  <si>
    <t>CP001358</t>
  </si>
  <si>
    <t>Remaining 18 clusters have only the rep species included in them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</si>
</sst>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4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u/>
      <sz val="12"/>
      <color theme="10"/>
      <name val="Aptos Narrow"/>
      <family val="2"/>
      <scheme val="minor"/>
    </font>
    <font>
      <i/>
      <sz val="12"/>
      <color theme="1"/>
      <name val="Aptos Narrow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999999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8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0" xfId="2" applyFont="1" applyFill="1"/>
    <xf numFmtId="0" fontId="8" fillId="0" borderId="0" xfId="2"/>
    <xf numFmtId="0" fontId="10" fillId="0" borderId="0" xfId="2" applyFont="1"/>
    <xf numFmtId="0" fontId="11" fillId="0" borderId="0" xfId="2" applyFont="1"/>
    <xf numFmtId="164" fontId="11" fillId="0" borderId="0" xfId="2" applyNumberFormat="1" applyFont="1"/>
    <xf numFmtId="3" fontId="11" fillId="0" borderId="0" xfId="2" applyNumberFormat="1" applyFont="1"/>
    <xf numFmtId="0" fontId="12" fillId="0" borderId="0" xfId="2" applyFont="1"/>
    <xf numFmtId="164" fontId="12" fillId="0" borderId="0" xfId="2" applyNumberFormat="1" applyFont="1"/>
    <xf numFmtId="3" fontId="12" fillId="0" borderId="0" xfId="2" applyNumberFormat="1" applyFont="1"/>
    <xf numFmtId="3" fontId="10" fillId="3" borderId="0" xfId="2" applyNumberFormat="1" applyFont="1" applyFill="1"/>
    <xf numFmtId="0" fontId="13" fillId="0" borderId="0" xfId="0" applyFont="1"/>
    <xf numFmtId="0" fontId="10" fillId="0" borderId="0" xfId="2" applyFont="1" applyAlignment="1">
      <alignment horizontal="right"/>
    </xf>
    <xf numFmtId="0" fontId="12" fillId="0" borderId="0" xfId="2" applyFont="1" applyAlignment="1"/>
    <xf numFmtId="164" fontId="12" fillId="0" borderId="0" xfId="2" applyNumberFormat="1" applyFont="1" applyAlignment="1"/>
    <xf numFmtId="3" fontId="12" fillId="0" borderId="0" xfId="2" applyNumberFormat="1" applyFont="1" applyAlignment="1"/>
    <xf numFmtId="0" fontId="8" fillId="0" borderId="0" xfId="2" applyAlignment="1"/>
  </cellXfs>
  <cellStyles count="3">
    <cellStyle name="Hyperlink" xfId="1" builtinId="8"/>
    <cellStyle name="Normal" xfId="0" builtinId="0"/>
    <cellStyle name="Normal 2" xfId="2" xr:uid="{EACDC065-BB07-0B49-B138-CE0187A46AC0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F4FC97-2235-DB43-8C8D-D14EB95ECDB4}" name="Table1" displayName="Table1" ref="A1:F72" headerRowCount="0" totalsRowShown="0" headerRowDxfId="13" dataDxfId="12">
  <sortState xmlns:xlrd2="http://schemas.microsoft.com/office/spreadsheetml/2017/richdata2" ref="A1:F72">
    <sortCondition descending="1" ref="B2:B72"/>
  </sortState>
  <tableColumns count="6">
    <tableColumn id="1" xr3:uid="{D1879123-4BF0-9345-AAAD-64523573EB61}" name="Project accession" headerRowDxfId="11" dataDxfId="10"/>
    <tableColumn id="2" xr3:uid="{0B22C83A-F597-8C4F-A431-991BA24B6B19}" name="Number of biosamples" headerRowDxfId="9" dataDxfId="8"/>
    <tableColumn id="3" xr3:uid="{84D3E3C8-ADF2-1A46-BDB3-63F730E9D83F}" name="Description of project" headerRowDxfId="7" dataDxfId="6"/>
    <tableColumn id="4" xr3:uid="{C4AA723E-3A89-B144-9E42-6210CD85E606}" name="Age category" headerRowDxfId="5" dataDxfId="4"/>
    <tableColumn id="5" xr3:uid="{C96F373A-2076-ED40-B334-2A1EA71656F3}" name="Country" headerRowDxfId="3" dataDxfId="2"/>
    <tableColumn id="6" xr3:uid="{6CB35FAC-B369-7F4D-AEF2-58C6637E5AA2}" name="Disease state (case, control)" headerRowDxfId="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D040E-64E1-BC44-85EE-D90FE23AD4AD}">
  <sheetPr>
    <outlinePr summaryBelow="0" summaryRight="0"/>
  </sheetPr>
  <dimension ref="A1:Z59"/>
  <sheetViews>
    <sheetView workbookViewId="0">
      <selection activeCell="H14" sqref="H14"/>
    </sheetView>
  </sheetViews>
  <sheetFormatPr defaultColWidth="12.625" defaultRowHeight="15.75" customHeight="1"/>
  <cols>
    <col min="1" max="1" width="19.875" style="12" customWidth="1"/>
    <col min="2" max="2" width="12.625" style="12"/>
    <col min="3" max="3" width="20" style="12" customWidth="1"/>
    <col min="4" max="4" width="26.375" style="12" customWidth="1"/>
    <col min="5" max="5" width="15.375" style="12" customWidth="1"/>
    <col min="6" max="7" width="24" style="12" customWidth="1"/>
    <col min="8" max="8" width="54.625" style="12" customWidth="1"/>
    <col min="9" max="16384" width="12.625" style="12"/>
  </cols>
  <sheetData>
    <row r="1" spans="1:26" ht="15.75" customHeight="1">
      <c r="A1" s="11" t="s">
        <v>0</v>
      </c>
    </row>
    <row r="2" spans="1:26" ht="15.75" customHeight="1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</row>
    <row r="3" spans="1:26" ht="15.75" customHeight="1">
      <c r="A3" s="14" t="s">
        <v>9</v>
      </c>
      <c r="B3" s="15">
        <v>44593</v>
      </c>
      <c r="C3" s="14" t="s">
        <v>10</v>
      </c>
      <c r="D3" s="14" t="s">
        <v>10</v>
      </c>
      <c r="E3" s="16">
        <v>1290429</v>
      </c>
      <c r="F3" s="16"/>
      <c r="G3" s="16"/>
      <c r="H3" s="14" t="s">
        <v>11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.75" customHeight="1">
      <c r="A4" s="17" t="s">
        <v>12</v>
      </c>
      <c r="B4" s="18">
        <v>44593</v>
      </c>
      <c r="C4" s="17" t="s">
        <v>13</v>
      </c>
      <c r="D4" s="17" t="s">
        <v>14</v>
      </c>
      <c r="E4" s="19">
        <v>9642</v>
      </c>
      <c r="F4" s="19">
        <v>9642</v>
      </c>
      <c r="G4" s="19"/>
      <c r="H4" s="18"/>
    </row>
    <row r="5" spans="1:26" ht="15.75" customHeight="1">
      <c r="A5" s="23" t="s">
        <v>15</v>
      </c>
      <c r="B5" s="24">
        <v>44593</v>
      </c>
      <c r="C5" s="23" t="s">
        <v>16</v>
      </c>
      <c r="D5" s="17" t="s">
        <v>14</v>
      </c>
      <c r="E5" s="25">
        <v>13329</v>
      </c>
      <c r="F5" s="25">
        <v>13329</v>
      </c>
      <c r="G5" s="19"/>
    </row>
    <row r="6" spans="1:26" ht="15.75" customHeight="1">
      <c r="A6" s="26"/>
      <c r="B6" s="26"/>
      <c r="C6" s="26"/>
      <c r="D6" s="17" t="s">
        <v>17</v>
      </c>
      <c r="E6" s="26"/>
      <c r="F6" s="26"/>
      <c r="G6" s="19"/>
    </row>
    <row r="7" spans="1:26" ht="15.75" customHeight="1">
      <c r="A7" s="23" t="s">
        <v>18</v>
      </c>
      <c r="B7" s="24">
        <v>44593</v>
      </c>
      <c r="C7" s="17" t="s">
        <v>19</v>
      </c>
      <c r="D7" s="17" t="s">
        <v>20</v>
      </c>
      <c r="E7" s="25">
        <v>51890</v>
      </c>
      <c r="F7" s="25">
        <v>42314</v>
      </c>
      <c r="G7" s="19"/>
    </row>
    <row r="8" spans="1:26" ht="15.75" customHeight="1">
      <c r="A8" s="26"/>
      <c r="B8" s="26"/>
      <c r="C8" s="23" t="s">
        <v>21</v>
      </c>
      <c r="D8" s="17" t="s">
        <v>22</v>
      </c>
      <c r="E8" s="26"/>
      <c r="F8" s="26"/>
      <c r="G8" s="19"/>
    </row>
    <row r="9" spans="1:26" ht="15.75" customHeight="1">
      <c r="A9" s="26"/>
      <c r="B9" s="26"/>
      <c r="C9" s="26"/>
      <c r="D9" s="17" t="s">
        <v>23</v>
      </c>
      <c r="E9" s="26"/>
      <c r="F9" s="26"/>
      <c r="G9" s="19"/>
    </row>
    <row r="10" spans="1:26" ht="15.75" customHeight="1">
      <c r="A10" s="26"/>
      <c r="B10" s="26"/>
      <c r="C10" s="26"/>
      <c r="D10" s="17" t="s">
        <v>24</v>
      </c>
      <c r="E10" s="26"/>
      <c r="F10" s="26"/>
      <c r="G10" s="19"/>
    </row>
    <row r="11" spans="1:26" ht="15.75" customHeight="1">
      <c r="A11" s="26"/>
      <c r="B11" s="26"/>
      <c r="C11" s="26"/>
      <c r="D11" s="17" t="s">
        <v>25</v>
      </c>
      <c r="E11" s="26"/>
      <c r="F11" s="26"/>
      <c r="G11" s="19"/>
    </row>
    <row r="12" spans="1:26" ht="15.75" customHeight="1">
      <c r="A12" s="26"/>
      <c r="B12" s="26"/>
      <c r="C12" s="26"/>
      <c r="D12" s="17" t="s">
        <v>26</v>
      </c>
      <c r="E12" s="26"/>
      <c r="F12" s="26"/>
      <c r="G12" s="19"/>
    </row>
    <row r="13" spans="1:26" ht="15.75" customHeight="1">
      <c r="A13" s="26"/>
      <c r="B13" s="26"/>
      <c r="C13" s="26"/>
      <c r="D13" s="17" t="s">
        <v>27</v>
      </c>
      <c r="E13" s="26"/>
      <c r="F13" s="26"/>
      <c r="G13" s="19"/>
    </row>
    <row r="14" spans="1:26" ht="15.75" customHeight="1">
      <c r="A14" s="26"/>
      <c r="B14" s="26"/>
      <c r="C14" s="26"/>
      <c r="D14" s="17" t="s">
        <v>28</v>
      </c>
      <c r="E14" s="26"/>
      <c r="F14" s="26"/>
      <c r="G14" s="19"/>
    </row>
    <row r="15" spans="1:26" ht="15.75" customHeight="1">
      <c r="A15" s="26"/>
      <c r="B15" s="26"/>
      <c r="C15" s="26"/>
      <c r="D15" s="17" t="s">
        <v>29</v>
      </c>
      <c r="E15" s="26"/>
      <c r="F15" s="26"/>
      <c r="G15" s="19"/>
    </row>
    <row r="16" spans="1:26" ht="15.75" customHeight="1">
      <c r="A16" s="26"/>
      <c r="B16" s="26"/>
      <c r="C16" s="26"/>
      <c r="D16" s="17" t="s">
        <v>30</v>
      </c>
      <c r="E16" s="26"/>
      <c r="F16" s="26"/>
      <c r="G16" s="19"/>
    </row>
    <row r="17" spans="1:7" ht="15.75" customHeight="1">
      <c r="A17" s="26"/>
      <c r="B17" s="26"/>
      <c r="C17" s="26"/>
      <c r="D17" s="17" t="s">
        <v>31</v>
      </c>
      <c r="E17" s="26"/>
      <c r="F17" s="26"/>
      <c r="G17" s="19"/>
    </row>
    <row r="18" spans="1:7" ht="15.75" customHeight="1">
      <c r="A18" s="26"/>
      <c r="B18" s="26"/>
      <c r="C18" s="26"/>
      <c r="D18" s="17" t="s">
        <v>32</v>
      </c>
      <c r="E18" s="26"/>
      <c r="F18" s="26"/>
      <c r="G18" s="19"/>
    </row>
    <row r="19" spans="1:7" ht="15.75" customHeight="1">
      <c r="A19" s="26"/>
      <c r="B19" s="26"/>
      <c r="C19" s="26"/>
      <c r="D19" s="17" t="s">
        <v>33</v>
      </c>
      <c r="E19" s="26"/>
      <c r="F19" s="26"/>
      <c r="G19" s="19"/>
    </row>
    <row r="20" spans="1:7" ht="15.75" customHeight="1">
      <c r="A20" s="26"/>
      <c r="B20" s="26"/>
      <c r="C20" s="26"/>
      <c r="D20" s="17" t="s">
        <v>34</v>
      </c>
      <c r="E20" s="26"/>
      <c r="F20" s="26"/>
      <c r="G20" s="19"/>
    </row>
    <row r="21" spans="1:7" ht="15.75" customHeight="1">
      <c r="A21" s="26"/>
      <c r="B21" s="26"/>
      <c r="C21" s="26"/>
      <c r="D21" s="17" t="s">
        <v>35</v>
      </c>
      <c r="E21" s="26"/>
      <c r="F21" s="26"/>
      <c r="G21" s="19"/>
    </row>
    <row r="22" spans="1:7" ht="15.75" customHeight="1">
      <c r="A22" s="26"/>
      <c r="B22" s="26"/>
      <c r="C22" s="26"/>
      <c r="D22" s="17" t="s">
        <v>36</v>
      </c>
      <c r="E22" s="26"/>
      <c r="F22" s="26"/>
      <c r="G22" s="19"/>
    </row>
    <row r="23" spans="1:7" ht="15.75" customHeight="1">
      <c r="A23" s="23" t="s">
        <v>37</v>
      </c>
      <c r="B23" s="24">
        <v>44593</v>
      </c>
      <c r="C23" s="17" t="s">
        <v>19</v>
      </c>
      <c r="D23" s="17" t="s">
        <v>20</v>
      </c>
      <c r="E23" s="25">
        <v>24738</v>
      </c>
      <c r="F23" s="25">
        <v>19367</v>
      </c>
      <c r="G23" s="19"/>
    </row>
    <row r="24" spans="1:7" ht="15.75" customHeight="1">
      <c r="A24" s="26"/>
      <c r="B24" s="26"/>
      <c r="C24" s="23" t="s">
        <v>21</v>
      </c>
      <c r="D24" s="17" t="s">
        <v>38</v>
      </c>
      <c r="E24" s="26"/>
      <c r="F24" s="26"/>
      <c r="G24" s="19"/>
    </row>
    <row r="25" spans="1:7" ht="15.75" customHeight="1">
      <c r="A25" s="26"/>
      <c r="B25" s="26"/>
      <c r="C25" s="26"/>
      <c r="D25" s="17" t="s">
        <v>39</v>
      </c>
      <c r="E25" s="26"/>
      <c r="F25" s="26"/>
      <c r="G25" s="19"/>
    </row>
    <row r="26" spans="1:7" ht="15.75" customHeight="1">
      <c r="A26" s="26"/>
      <c r="B26" s="26"/>
      <c r="C26" s="26"/>
      <c r="D26" s="17" t="s">
        <v>40</v>
      </c>
      <c r="E26" s="26"/>
      <c r="F26" s="26"/>
      <c r="G26" s="19"/>
    </row>
    <row r="27" spans="1:7" ht="15.75" customHeight="1">
      <c r="A27" s="26"/>
      <c r="B27" s="26"/>
      <c r="C27" s="26"/>
      <c r="D27" s="17" t="s">
        <v>41</v>
      </c>
      <c r="E27" s="26"/>
      <c r="F27" s="26"/>
      <c r="G27" s="19"/>
    </row>
    <row r="28" spans="1:7" ht="15.75" customHeight="1">
      <c r="A28" s="26"/>
      <c r="B28" s="26"/>
      <c r="C28" s="26"/>
      <c r="D28" s="17" t="s">
        <v>42</v>
      </c>
      <c r="E28" s="26"/>
      <c r="F28" s="26"/>
      <c r="G28" s="19"/>
    </row>
    <row r="29" spans="1:7" ht="15.75" customHeight="1">
      <c r="A29" s="26"/>
      <c r="B29" s="26"/>
      <c r="C29" s="26"/>
      <c r="D29" s="17" t="s">
        <v>43</v>
      </c>
      <c r="E29" s="26"/>
      <c r="F29" s="26"/>
      <c r="G29" s="19"/>
    </row>
    <row r="30" spans="1:7" ht="15.75" customHeight="1">
      <c r="A30" s="26"/>
      <c r="B30" s="26"/>
      <c r="C30" s="26"/>
      <c r="D30" s="17" t="s">
        <v>44</v>
      </c>
      <c r="E30" s="26"/>
      <c r="F30" s="26"/>
      <c r="G30" s="19"/>
    </row>
    <row r="31" spans="1:7" ht="15.75" customHeight="1">
      <c r="A31" s="23" t="s">
        <v>45</v>
      </c>
      <c r="B31" s="24">
        <v>44593</v>
      </c>
      <c r="C31" s="17" t="s">
        <v>19</v>
      </c>
      <c r="D31" s="17" t="s">
        <v>20</v>
      </c>
      <c r="E31" s="23">
        <v>462</v>
      </c>
      <c r="F31" s="23">
        <v>255</v>
      </c>
      <c r="G31" s="17"/>
    </row>
    <row r="32" spans="1:7" ht="15.75" customHeight="1">
      <c r="A32" s="26"/>
      <c r="B32" s="26"/>
      <c r="C32" s="23" t="s">
        <v>21</v>
      </c>
      <c r="D32" s="17" t="s">
        <v>46</v>
      </c>
      <c r="E32" s="26"/>
      <c r="F32" s="26"/>
      <c r="G32" s="17"/>
    </row>
    <row r="33" spans="1:7" ht="15.75" customHeight="1">
      <c r="A33" s="26"/>
      <c r="B33" s="26"/>
      <c r="C33" s="26"/>
      <c r="D33" s="17" t="s">
        <v>47</v>
      </c>
      <c r="E33" s="26"/>
      <c r="F33" s="26"/>
      <c r="G33" s="17"/>
    </row>
    <row r="34" spans="1:7" ht="15.75" customHeight="1">
      <c r="A34" s="23" t="s">
        <v>48</v>
      </c>
      <c r="B34" s="24">
        <v>44594</v>
      </c>
      <c r="C34" s="17" t="s">
        <v>19</v>
      </c>
      <c r="D34" s="17" t="s">
        <v>20</v>
      </c>
      <c r="E34" s="23">
        <v>173</v>
      </c>
      <c r="F34" s="23">
        <v>115</v>
      </c>
      <c r="G34" s="17"/>
    </row>
    <row r="35" spans="1:7" ht="15.75" customHeight="1">
      <c r="A35" s="26"/>
      <c r="B35" s="26"/>
      <c r="C35" s="23" t="s">
        <v>21</v>
      </c>
      <c r="D35" s="17" t="s">
        <v>49</v>
      </c>
      <c r="E35" s="26"/>
      <c r="F35" s="26"/>
      <c r="G35" s="17"/>
    </row>
    <row r="36" spans="1:7" ht="15.75" customHeight="1">
      <c r="A36" s="26"/>
      <c r="B36" s="26"/>
      <c r="C36" s="26"/>
      <c r="D36" s="17" t="s">
        <v>50</v>
      </c>
      <c r="E36" s="26"/>
      <c r="F36" s="26"/>
      <c r="G36" s="17"/>
    </row>
    <row r="37" spans="1:7" ht="15.75" customHeight="1">
      <c r="A37" s="23" t="s">
        <v>51</v>
      </c>
      <c r="B37" s="24">
        <v>44593</v>
      </c>
      <c r="C37" s="17" t="s">
        <v>19</v>
      </c>
      <c r="D37" s="17" t="s">
        <v>20</v>
      </c>
      <c r="E37" s="25">
        <v>6264</v>
      </c>
      <c r="F37" s="25">
        <v>5481</v>
      </c>
      <c r="G37" s="19"/>
    </row>
    <row r="38" spans="1:7" ht="15.75" customHeight="1">
      <c r="A38" s="26"/>
      <c r="B38" s="26"/>
      <c r="C38" s="23" t="s">
        <v>21</v>
      </c>
      <c r="D38" s="17" t="s">
        <v>52</v>
      </c>
      <c r="E38" s="26"/>
      <c r="F38" s="26"/>
      <c r="G38" s="19"/>
    </row>
    <row r="39" spans="1:7" ht="15.75" customHeight="1">
      <c r="A39" s="26"/>
      <c r="B39" s="26"/>
      <c r="C39" s="26"/>
      <c r="D39" s="17" t="s">
        <v>53</v>
      </c>
      <c r="E39" s="26"/>
      <c r="F39" s="26"/>
      <c r="G39" s="19"/>
    </row>
    <row r="40" spans="1:7" ht="15.75" customHeight="1">
      <c r="A40" s="26"/>
      <c r="B40" s="26"/>
      <c r="C40" s="26"/>
      <c r="D40" s="17" t="s">
        <v>54</v>
      </c>
      <c r="E40" s="26"/>
      <c r="F40" s="26"/>
      <c r="G40" s="19"/>
    </row>
    <row r="41" spans="1:7" ht="15.75" customHeight="1">
      <c r="A41" s="26"/>
      <c r="B41" s="26"/>
      <c r="C41" s="26"/>
      <c r="D41" s="17" t="s">
        <v>52</v>
      </c>
      <c r="E41" s="26"/>
      <c r="F41" s="26"/>
      <c r="G41" s="19"/>
    </row>
    <row r="42" spans="1:7" ht="15.75" customHeight="1">
      <c r="A42" s="26"/>
      <c r="B42" s="26"/>
      <c r="C42" s="26"/>
      <c r="D42" s="17" t="s">
        <v>55</v>
      </c>
      <c r="E42" s="26"/>
      <c r="F42" s="26"/>
      <c r="G42" s="19"/>
    </row>
    <row r="43" spans="1:7" ht="15.75" customHeight="1">
      <c r="A43" s="26"/>
      <c r="B43" s="26"/>
      <c r="C43" s="26"/>
      <c r="D43" s="17" t="s">
        <v>56</v>
      </c>
      <c r="E43" s="26"/>
      <c r="F43" s="26"/>
      <c r="G43" s="19"/>
    </row>
    <row r="44" spans="1:7" ht="15.75" customHeight="1">
      <c r="A44" s="23" t="s">
        <v>57</v>
      </c>
      <c r="B44" s="24">
        <v>44593</v>
      </c>
      <c r="C44" s="17" t="s">
        <v>19</v>
      </c>
      <c r="D44" s="17" t="s">
        <v>20</v>
      </c>
      <c r="E44" s="25">
        <v>4620</v>
      </c>
      <c r="F44" s="25">
        <v>4152</v>
      </c>
      <c r="G44" s="19"/>
    </row>
    <row r="45" spans="1:7" ht="15.75" customHeight="1">
      <c r="A45" s="26"/>
      <c r="B45" s="26"/>
      <c r="C45" s="23" t="s">
        <v>21</v>
      </c>
      <c r="D45" s="17" t="s">
        <v>58</v>
      </c>
      <c r="E45" s="26"/>
      <c r="F45" s="26"/>
      <c r="G45" s="19"/>
    </row>
    <row r="46" spans="1:7" ht="15.75" customHeight="1">
      <c r="A46" s="26"/>
      <c r="B46" s="26"/>
      <c r="C46" s="26"/>
      <c r="D46" s="17" t="s">
        <v>59</v>
      </c>
      <c r="E46" s="26"/>
      <c r="F46" s="26"/>
      <c r="G46" s="19"/>
    </row>
    <row r="47" spans="1:7" ht="15.75" customHeight="1">
      <c r="A47" s="26"/>
      <c r="B47" s="26"/>
      <c r="C47" s="26"/>
      <c r="D47" s="17" t="s">
        <v>60</v>
      </c>
      <c r="E47" s="26"/>
      <c r="F47" s="26"/>
      <c r="G47" s="19"/>
    </row>
    <row r="48" spans="1:7" ht="15.75" customHeight="1">
      <c r="A48" s="26"/>
      <c r="B48" s="26"/>
      <c r="C48" s="26"/>
      <c r="D48" s="17" t="s">
        <v>61</v>
      </c>
      <c r="E48" s="26"/>
      <c r="F48" s="26"/>
      <c r="G48" s="19"/>
    </row>
    <row r="49" spans="1:7" ht="15.75" customHeight="1">
      <c r="A49" s="26"/>
      <c r="B49" s="26"/>
      <c r="C49" s="26"/>
      <c r="D49" s="17" t="s">
        <v>62</v>
      </c>
      <c r="E49" s="26"/>
      <c r="F49" s="26"/>
      <c r="G49" s="19"/>
    </row>
    <row r="50" spans="1:7" ht="15.75" customHeight="1">
      <c r="A50" s="26"/>
      <c r="B50" s="26"/>
      <c r="C50" s="26"/>
      <c r="D50" s="17" t="s">
        <v>63</v>
      </c>
      <c r="E50" s="26"/>
      <c r="F50" s="26"/>
      <c r="G50" s="19"/>
    </row>
    <row r="51" spans="1:7" ht="15.75" customHeight="1">
      <c r="A51" s="26"/>
      <c r="B51" s="26"/>
      <c r="C51" s="26"/>
      <c r="D51" s="17" t="s">
        <v>64</v>
      </c>
      <c r="E51" s="26"/>
      <c r="F51" s="26"/>
      <c r="G51" s="19"/>
    </row>
    <row r="52" spans="1:7" ht="15.75" customHeight="1">
      <c r="A52" s="26"/>
      <c r="B52" s="26"/>
      <c r="C52" s="26"/>
      <c r="D52" s="17" t="s">
        <v>65</v>
      </c>
      <c r="E52" s="26"/>
      <c r="F52" s="26"/>
      <c r="G52" s="19"/>
    </row>
    <row r="53" spans="1:7" ht="15.75" customHeight="1">
      <c r="A53" s="26"/>
      <c r="B53" s="26"/>
      <c r="C53" s="26"/>
      <c r="D53" s="17" t="s">
        <v>66</v>
      </c>
      <c r="E53" s="26"/>
      <c r="F53" s="26"/>
      <c r="G53" s="19"/>
    </row>
    <row r="54" spans="1:7" ht="14.1">
      <c r="A54" s="23" t="s">
        <v>67</v>
      </c>
      <c r="B54" s="24">
        <v>44593</v>
      </c>
      <c r="C54" s="17" t="s">
        <v>19</v>
      </c>
      <c r="D54" s="17" t="s">
        <v>20</v>
      </c>
      <c r="E54" s="23">
        <v>796</v>
      </c>
      <c r="F54" s="23">
        <v>637</v>
      </c>
      <c r="G54" s="17"/>
    </row>
    <row r="55" spans="1:7" ht="14.1">
      <c r="A55" s="26"/>
      <c r="B55" s="26"/>
      <c r="C55" s="23" t="s">
        <v>21</v>
      </c>
      <c r="D55" s="17" t="s">
        <v>68</v>
      </c>
      <c r="E55" s="26"/>
      <c r="F55" s="26"/>
      <c r="G55" s="17"/>
    </row>
    <row r="56" spans="1:7" ht="14.1">
      <c r="A56" s="26"/>
      <c r="B56" s="26"/>
      <c r="C56" s="26"/>
      <c r="D56" s="17" t="s">
        <v>69</v>
      </c>
      <c r="E56" s="26"/>
      <c r="F56" s="26"/>
      <c r="G56" s="17"/>
    </row>
    <row r="57" spans="1:7" ht="14.1">
      <c r="A57" s="23" t="s">
        <v>70</v>
      </c>
      <c r="B57" s="24">
        <v>44594</v>
      </c>
      <c r="C57" s="17" t="s">
        <v>19</v>
      </c>
      <c r="D57" s="17" t="s">
        <v>20</v>
      </c>
      <c r="E57" s="23">
        <v>58</v>
      </c>
      <c r="F57" s="23">
        <v>58</v>
      </c>
      <c r="G57" s="17"/>
    </row>
    <row r="58" spans="1:7" ht="14.1">
      <c r="A58" s="26"/>
      <c r="B58" s="26"/>
      <c r="C58" s="17" t="s">
        <v>21</v>
      </c>
      <c r="D58" s="17" t="s">
        <v>71</v>
      </c>
      <c r="E58" s="26"/>
      <c r="F58" s="26"/>
      <c r="G58" s="17"/>
    </row>
    <row r="59" spans="1:7" ht="14.1">
      <c r="A59" s="22" t="s">
        <v>72</v>
      </c>
      <c r="B59" s="26"/>
      <c r="C59" s="26"/>
      <c r="D59" s="26"/>
      <c r="E59" s="19">
        <f>SUM(E4:E56)</f>
        <v>111914</v>
      </c>
      <c r="F59" s="20">
        <f>SUM(F4:F58)</f>
        <v>95350</v>
      </c>
      <c r="G59" s="20">
        <v>72501</v>
      </c>
    </row>
  </sheetData>
  <mergeCells count="45">
    <mergeCell ref="A7:A22"/>
    <mergeCell ref="B7:B22"/>
    <mergeCell ref="E7:E22"/>
    <mergeCell ref="F7:F22"/>
    <mergeCell ref="C8:C22"/>
    <mergeCell ref="A5:A6"/>
    <mergeCell ref="B5:B6"/>
    <mergeCell ref="C5:C6"/>
    <mergeCell ref="E5:E6"/>
    <mergeCell ref="F5:F6"/>
    <mergeCell ref="A31:A33"/>
    <mergeCell ref="B31:B33"/>
    <mergeCell ref="E31:E33"/>
    <mergeCell ref="F31:F33"/>
    <mergeCell ref="C32:C33"/>
    <mergeCell ref="A23:A30"/>
    <mergeCell ref="B23:B30"/>
    <mergeCell ref="E23:E30"/>
    <mergeCell ref="F23:F30"/>
    <mergeCell ref="C24:C30"/>
    <mergeCell ref="A37:A43"/>
    <mergeCell ref="B37:B43"/>
    <mergeCell ref="E37:E43"/>
    <mergeCell ref="F37:F43"/>
    <mergeCell ref="C38:C43"/>
    <mergeCell ref="A34:A36"/>
    <mergeCell ref="B34:B36"/>
    <mergeCell ref="E34:E36"/>
    <mergeCell ref="F34:F36"/>
    <mergeCell ref="C35:C36"/>
    <mergeCell ref="A54:A56"/>
    <mergeCell ref="B54:B56"/>
    <mergeCell ref="E54:E56"/>
    <mergeCell ref="F54:F56"/>
    <mergeCell ref="C55:C56"/>
    <mergeCell ref="A44:A53"/>
    <mergeCell ref="B44:B53"/>
    <mergeCell ref="E44:E53"/>
    <mergeCell ref="F44:F53"/>
    <mergeCell ref="C45:C53"/>
    <mergeCell ref="A57:A58"/>
    <mergeCell ref="B57:B58"/>
    <mergeCell ref="E57:E58"/>
    <mergeCell ref="F57:F58"/>
    <mergeCell ref="A59:D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EE2FB-F52D-C246-B6FB-0576A62D6478}">
  <dimension ref="A1:F72"/>
  <sheetViews>
    <sheetView tabSelected="1" workbookViewId="0">
      <selection activeCell="B1" sqref="B1"/>
    </sheetView>
  </sheetViews>
  <sheetFormatPr defaultColWidth="11" defaultRowHeight="41.1" customHeight="1"/>
  <cols>
    <col min="1" max="1" width="25.375" style="1" customWidth="1"/>
    <col min="2" max="2" width="26.375" style="1" customWidth="1"/>
    <col min="3" max="3" width="70.125" style="1" customWidth="1"/>
    <col min="4" max="4" width="30" style="1" customWidth="1"/>
    <col min="5" max="5" width="28.5" style="1" customWidth="1"/>
    <col min="6" max="6" width="53.5" style="1" customWidth="1"/>
  </cols>
  <sheetData>
    <row r="1" spans="1:6" ht="41.1" customHeight="1">
      <c r="A1" s="10" t="s">
        <v>73</v>
      </c>
      <c r="B1" s="10" t="s">
        <v>74</v>
      </c>
      <c r="C1" s="10" t="s">
        <v>75</v>
      </c>
      <c r="D1" s="9" t="s">
        <v>76</v>
      </c>
      <c r="E1" s="10" t="s">
        <v>77</v>
      </c>
      <c r="F1" s="9" t="s">
        <v>78</v>
      </c>
    </row>
    <row r="2" spans="1:6" ht="41.1" customHeight="1">
      <c r="A2" s="3" t="s">
        <v>79</v>
      </c>
      <c r="B2" s="3">
        <v>915</v>
      </c>
      <c r="C2" s="2" t="s">
        <v>80</v>
      </c>
      <c r="D2" s="6" t="s">
        <v>81</v>
      </c>
      <c r="E2" s="3" t="s">
        <v>82</v>
      </c>
      <c r="F2" s="6" t="s">
        <v>83</v>
      </c>
    </row>
    <row r="3" spans="1:6" ht="41.1" customHeight="1">
      <c r="A3" s="3" t="s">
        <v>84</v>
      </c>
      <c r="B3" s="3">
        <v>737</v>
      </c>
      <c r="C3" s="2" t="s">
        <v>85</v>
      </c>
      <c r="D3" s="4" t="s">
        <v>86</v>
      </c>
      <c r="E3" s="2" t="s">
        <v>87</v>
      </c>
      <c r="F3" s="2" t="s">
        <v>88</v>
      </c>
    </row>
    <row r="4" spans="1:6" ht="41.1" customHeight="1">
      <c r="A4" s="3" t="s">
        <v>89</v>
      </c>
      <c r="B4" s="3">
        <v>400</v>
      </c>
      <c r="C4" s="4" t="s">
        <v>90</v>
      </c>
      <c r="D4" s="3" t="s">
        <v>86</v>
      </c>
      <c r="E4" s="3" t="s">
        <v>91</v>
      </c>
      <c r="F4" s="2" t="s">
        <v>83</v>
      </c>
    </row>
    <row r="5" spans="1:6" ht="41.1" customHeight="1">
      <c r="A5" s="3" t="s">
        <v>92</v>
      </c>
      <c r="B5" s="3">
        <v>385</v>
      </c>
      <c r="C5" s="2" t="s">
        <v>93</v>
      </c>
      <c r="D5" s="3" t="s">
        <v>86</v>
      </c>
      <c r="E5" s="2" t="s">
        <v>82</v>
      </c>
      <c r="F5" s="2" t="s">
        <v>94</v>
      </c>
    </row>
    <row r="6" spans="1:6" ht="41.1" customHeight="1">
      <c r="A6" s="3" t="s">
        <v>95</v>
      </c>
      <c r="B6" s="3">
        <v>370</v>
      </c>
      <c r="C6" s="4" t="s">
        <v>96</v>
      </c>
      <c r="D6" s="6" t="s">
        <v>81</v>
      </c>
      <c r="E6" s="2" t="s">
        <v>97</v>
      </c>
      <c r="F6" s="4" t="s">
        <v>98</v>
      </c>
    </row>
    <row r="7" spans="1:6" ht="41.1" customHeight="1">
      <c r="A7" s="3" t="s">
        <v>99</v>
      </c>
      <c r="B7" s="3">
        <v>292</v>
      </c>
      <c r="C7" s="4" t="s">
        <v>100</v>
      </c>
      <c r="D7" s="2" t="s">
        <v>81</v>
      </c>
      <c r="E7" s="2" t="s">
        <v>101</v>
      </c>
      <c r="F7" s="4" t="s">
        <v>102</v>
      </c>
    </row>
    <row r="8" spans="1:6" ht="41.1" customHeight="1">
      <c r="A8" s="3" t="s">
        <v>103</v>
      </c>
      <c r="B8" s="3">
        <v>249</v>
      </c>
      <c r="C8" s="4" t="s">
        <v>104</v>
      </c>
      <c r="D8" s="3" t="s">
        <v>81</v>
      </c>
      <c r="E8" s="3" t="s">
        <v>97</v>
      </c>
      <c r="F8" s="2" t="s">
        <v>102</v>
      </c>
    </row>
    <row r="9" spans="1:6" ht="41.1" customHeight="1">
      <c r="A9" s="3" t="s">
        <v>105</v>
      </c>
      <c r="B9" s="3">
        <v>249</v>
      </c>
      <c r="C9" s="2" t="s">
        <v>106</v>
      </c>
      <c r="D9" s="6" t="s">
        <v>81</v>
      </c>
      <c r="E9" s="3" t="s">
        <v>107</v>
      </c>
      <c r="F9" s="6" t="s">
        <v>108</v>
      </c>
    </row>
    <row r="10" spans="1:6" ht="41.1" customHeight="1">
      <c r="A10" s="3" t="s">
        <v>109</v>
      </c>
      <c r="B10" s="3">
        <v>233</v>
      </c>
      <c r="C10" s="2" t="s">
        <v>110</v>
      </c>
      <c r="D10" s="6" t="s">
        <v>81</v>
      </c>
      <c r="E10" s="3" t="s">
        <v>107</v>
      </c>
      <c r="F10" s="4" t="s">
        <v>111</v>
      </c>
    </row>
    <row r="11" spans="1:6" ht="41.1" customHeight="1">
      <c r="A11" s="3" t="s">
        <v>112</v>
      </c>
      <c r="B11" s="3">
        <v>232</v>
      </c>
      <c r="C11" s="6" t="s">
        <v>113</v>
      </c>
      <c r="D11" s="3" t="s">
        <v>81</v>
      </c>
      <c r="E11" s="3" t="s">
        <v>97</v>
      </c>
      <c r="F11" s="6" t="s">
        <v>114</v>
      </c>
    </row>
    <row r="12" spans="1:6" ht="41.1" customHeight="1">
      <c r="A12" s="3" t="s">
        <v>115</v>
      </c>
      <c r="B12" s="3">
        <v>168</v>
      </c>
      <c r="C12" s="2" t="s">
        <v>116</v>
      </c>
      <c r="D12" s="3" t="s">
        <v>81</v>
      </c>
      <c r="E12" s="3" t="s">
        <v>117</v>
      </c>
      <c r="F12" s="3" t="s">
        <v>83</v>
      </c>
    </row>
    <row r="13" spans="1:6" ht="41.1" customHeight="1">
      <c r="A13" s="3" t="s">
        <v>118</v>
      </c>
      <c r="B13" s="3">
        <v>168</v>
      </c>
      <c r="C13" s="2" t="s">
        <v>119</v>
      </c>
      <c r="D13" s="3" t="s">
        <v>81</v>
      </c>
      <c r="E13" s="3" t="s">
        <v>97</v>
      </c>
      <c r="F13" s="3" t="s">
        <v>114</v>
      </c>
    </row>
    <row r="14" spans="1:6" ht="41.1" customHeight="1">
      <c r="A14" s="3" t="s">
        <v>120</v>
      </c>
      <c r="B14" s="3">
        <v>156</v>
      </c>
      <c r="C14" s="2" t="s">
        <v>121</v>
      </c>
      <c r="D14" s="3" t="s">
        <v>81</v>
      </c>
      <c r="E14" s="3" t="s">
        <v>122</v>
      </c>
      <c r="F14" s="4" t="s">
        <v>123</v>
      </c>
    </row>
    <row r="15" spans="1:6" ht="41.1" customHeight="1">
      <c r="A15" s="3" t="s">
        <v>124</v>
      </c>
      <c r="B15" s="3">
        <v>140</v>
      </c>
      <c r="C15" s="4" t="s">
        <v>125</v>
      </c>
      <c r="D15" s="3" t="s">
        <v>81</v>
      </c>
      <c r="E15" s="3" t="s">
        <v>97</v>
      </c>
      <c r="F15" s="4" t="s">
        <v>126</v>
      </c>
    </row>
    <row r="16" spans="1:6" ht="41.1" customHeight="1">
      <c r="A16" s="3" t="s">
        <v>127</v>
      </c>
      <c r="B16" s="3">
        <v>128</v>
      </c>
      <c r="C16" s="4" t="s">
        <v>128</v>
      </c>
      <c r="D16" s="3" t="s">
        <v>81</v>
      </c>
      <c r="E16" s="3" t="s">
        <v>97</v>
      </c>
      <c r="F16" s="4" t="s">
        <v>123</v>
      </c>
    </row>
    <row r="17" spans="1:6" ht="41.1" customHeight="1">
      <c r="A17" s="3" t="s">
        <v>129</v>
      </c>
      <c r="B17" s="3">
        <v>111</v>
      </c>
      <c r="C17" s="2" t="s">
        <v>130</v>
      </c>
      <c r="D17" s="3" t="s">
        <v>81</v>
      </c>
      <c r="E17" s="2" t="s">
        <v>82</v>
      </c>
      <c r="F17" s="2" t="s">
        <v>83</v>
      </c>
    </row>
    <row r="18" spans="1:6" ht="41.1" customHeight="1">
      <c r="A18" s="3" t="s">
        <v>131</v>
      </c>
      <c r="B18" s="3">
        <v>110</v>
      </c>
      <c r="C18" s="4" t="s">
        <v>132</v>
      </c>
      <c r="D18" s="2" t="s">
        <v>81</v>
      </c>
      <c r="E18" s="2" t="s">
        <v>82</v>
      </c>
      <c r="F18" s="4" t="s">
        <v>123</v>
      </c>
    </row>
    <row r="19" spans="1:6" ht="41.1" customHeight="1">
      <c r="A19" s="3" t="s">
        <v>133</v>
      </c>
      <c r="B19" s="3">
        <v>97</v>
      </c>
      <c r="C19" s="4" t="s">
        <v>134</v>
      </c>
      <c r="D19" s="2" t="s">
        <v>81</v>
      </c>
      <c r="E19" s="2" t="s">
        <v>97</v>
      </c>
      <c r="F19" s="4" t="s">
        <v>135</v>
      </c>
    </row>
    <row r="20" spans="1:6" ht="41.1" customHeight="1">
      <c r="A20" s="3" t="s">
        <v>136</v>
      </c>
      <c r="B20" s="3">
        <v>97</v>
      </c>
      <c r="C20" s="3" t="s">
        <v>137</v>
      </c>
      <c r="D20" s="3" t="s">
        <v>81</v>
      </c>
      <c r="E20" s="3" t="s">
        <v>97</v>
      </c>
      <c r="F20" s="4" t="s">
        <v>138</v>
      </c>
    </row>
    <row r="21" spans="1:6" ht="41.1" customHeight="1">
      <c r="A21" s="3" t="s">
        <v>139</v>
      </c>
      <c r="B21" s="3">
        <v>92</v>
      </c>
      <c r="C21" s="2" t="s">
        <v>140</v>
      </c>
      <c r="D21" s="3" t="s">
        <v>81</v>
      </c>
      <c r="E21" s="2" t="s">
        <v>141</v>
      </c>
      <c r="F21" s="2" t="s">
        <v>102</v>
      </c>
    </row>
    <row r="22" spans="1:6" ht="41.1" customHeight="1">
      <c r="A22" s="3" t="s">
        <v>142</v>
      </c>
      <c r="B22" s="3">
        <v>69</v>
      </c>
      <c r="C22" s="2" t="s">
        <v>143</v>
      </c>
      <c r="D22" s="2" t="s">
        <v>81</v>
      </c>
      <c r="E22" s="2" t="s">
        <v>101</v>
      </c>
      <c r="F22" s="2" t="s">
        <v>83</v>
      </c>
    </row>
    <row r="23" spans="1:6" ht="41.1" customHeight="1">
      <c r="A23" s="3" t="s">
        <v>144</v>
      </c>
      <c r="B23" s="3">
        <v>63</v>
      </c>
      <c r="C23" s="4" t="s">
        <v>145</v>
      </c>
      <c r="D23" s="3" t="s">
        <v>81</v>
      </c>
      <c r="E23" s="3" t="s">
        <v>82</v>
      </c>
      <c r="F23" s="3" t="s">
        <v>83</v>
      </c>
    </row>
    <row r="24" spans="1:6" ht="41.1" customHeight="1">
      <c r="A24" s="5" t="s">
        <v>146</v>
      </c>
      <c r="B24" s="3">
        <v>59</v>
      </c>
      <c r="C24" s="2" t="s">
        <v>147</v>
      </c>
      <c r="D24" s="3" t="s">
        <v>81</v>
      </c>
      <c r="E24" s="3" t="s">
        <v>141</v>
      </c>
      <c r="F24" s="4" t="s">
        <v>148</v>
      </c>
    </row>
    <row r="25" spans="1:6" ht="41.1" customHeight="1">
      <c r="A25" s="3" t="s">
        <v>149</v>
      </c>
      <c r="B25" s="3">
        <v>58</v>
      </c>
      <c r="C25" s="2" t="s">
        <v>150</v>
      </c>
      <c r="D25" s="3" t="s">
        <v>151</v>
      </c>
      <c r="E25" s="2" t="s">
        <v>152</v>
      </c>
      <c r="F25" s="2" t="s">
        <v>83</v>
      </c>
    </row>
    <row r="26" spans="1:6" ht="41.1" customHeight="1">
      <c r="A26" s="3" t="s">
        <v>153</v>
      </c>
      <c r="B26" s="3">
        <v>55</v>
      </c>
      <c r="C26" s="6" t="s">
        <v>154</v>
      </c>
      <c r="D26" s="3" t="s">
        <v>81</v>
      </c>
      <c r="E26" s="3" t="s">
        <v>155</v>
      </c>
      <c r="F26" s="2" t="s">
        <v>156</v>
      </c>
    </row>
    <row r="27" spans="1:6" ht="41.1" customHeight="1">
      <c r="A27" s="6" t="s">
        <v>157</v>
      </c>
      <c r="B27" s="3">
        <v>52</v>
      </c>
      <c r="C27" s="4" t="s">
        <v>158</v>
      </c>
      <c r="D27" s="3" t="s">
        <v>81</v>
      </c>
      <c r="E27" s="2" t="s">
        <v>159</v>
      </c>
      <c r="F27" s="4" t="s">
        <v>160</v>
      </c>
    </row>
    <row r="28" spans="1:6" ht="41.1" customHeight="1">
      <c r="A28" s="3" t="s">
        <v>161</v>
      </c>
      <c r="B28" s="3">
        <v>51</v>
      </c>
      <c r="C28" s="4" t="s">
        <v>162</v>
      </c>
      <c r="D28" s="3" t="s">
        <v>81</v>
      </c>
      <c r="E28" s="3" t="s">
        <v>82</v>
      </c>
      <c r="F28" s="4" t="s">
        <v>163</v>
      </c>
    </row>
    <row r="29" spans="1:6" ht="41.1" customHeight="1">
      <c r="A29" s="3" t="s">
        <v>164</v>
      </c>
      <c r="B29" s="3">
        <v>50</v>
      </c>
      <c r="C29" s="2" t="s">
        <v>165</v>
      </c>
      <c r="D29" s="3" t="s">
        <v>86</v>
      </c>
      <c r="E29" s="2" t="s">
        <v>82</v>
      </c>
      <c r="F29" s="2" t="s">
        <v>166</v>
      </c>
    </row>
    <row r="30" spans="1:6" ht="41.1" customHeight="1">
      <c r="A30" s="3" t="s">
        <v>167</v>
      </c>
      <c r="B30" s="3">
        <v>49</v>
      </c>
      <c r="C30" s="4" t="s">
        <v>168</v>
      </c>
      <c r="D30" s="3" t="s">
        <v>151</v>
      </c>
      <c r="E30" s="3" t="s">
        <v>169</v>
      </c>
      <c r="F30" s="4" t="s">
        <v>170</v>
      </c>
    </row>
    <row r="31" spans="1:6" ht="41.1" customHeight="1">
      <c r="A31" s="3" t="s">
        <v>171</v>
      </c>
      <c r="B31" s="3">
        <v>38</v>
      </c>
      <c r="C31" s="2" t="s">
        <v>172</v>
      </c>
      <c r="D31" s="3" t="s">
        <v>81</v>
      </c>
      <c r="E31" s="2" t="s">
        <v>173</v>
      </c>
      <c r="F31" s="2" t="s">
        <v>83</v>
      </c>
    </row>
    <row r="32" spans="1:6" ht="41.1" customHeight="1">
      <c r="A32" s="3" t="s">
        <v>174</v>
      </c>
      <c r="B32" s="3">
        <v>37</v>
      </c>
      <c r="C32" s="2" t="s">
        <v>175</v>
      </c>
      <c r="D32" s="3" t="s">
        <v>81</v>
      </c>
      <c r="E32" s="2" t="s">
        <v>82</v>
      </c>
      <c r="F32" s="2" t="s">
        <v>83</v>
      </c>
    </row>
    <row r="33" spans="1:6" ht="41.1" customHeight="1">
      <c r="A33" s="3" t="s">
        <v>176</v>
      </c>
      <c r="B33" s="3">
        <v>37</v>
      </c>
      <c r="C33" s="2" t="s">
        <v>177</v>
      </c>
      <c r="D33" s="3" t="s">
        <v>86</v>
      </c>
      <c r="E33" s="3" t="s">
        <v>82</v>
      </c>
      <c r="F33" s="3" t="s">
        <v>94</v>
      </c>
    </row>
    <row r="34" spans="1:6" ht="41.1" customHeight="1">
      <c r="A34" s="3" t="s">
        <v>178</v>
      </c>
      <c r="B34" s="3">
        <v>36</v>
      </c>
      <c r="C34" s="3" t="s">
        <v>179</v>
      </c>
      <c r="D34" s="3" t="s">
        <v>86</v>
      </c>
      <c r="E34" s="3" t="s">
        <v>82</v>
      </c>
      <c r="F34" s="3" t="s">
        <v>94</v>
      </c>
    </row>
    <row r="35" spans="1:6" ht="41.1" customHeight="1">
      <c r="A35" s="3" t="s">
        <v>180</v>
      </c>
      <c r="B35" s="3">
        <v>33</v>
      </c>
      <c r="C35" s="4" t="s">
        <v>181</v>
      </c>
      <c r="D35" s="3" t="s">
        <v>81</v>
      </c>
      <c r="E35" s="3" t="s">
        <v>101</v>
      </c>
      <c r="F35" s="2" t="s">
        <v>102</v>
      </c>
    </row>
    <row r="36" spans="1:6" ht="41.1" customHeight="1">
      <c r="A36" s="6" t="s">
        <v>182</v>
      </c>
      <c r="B36" s="3">
        <v>29</v>
      </c>
      <c r="C36" s="4" t="s">
        <v>183</v>
      </c>
      <c r="D36" s="4" t="s">
        <v>151</v>
      </c>
      <c r="E36" s="4" t="s">
        <v>184</v>
      </c>
      <c r="F36" s="4" t="s">
        <v>185</v>
      </c>
    </row>
    <row r="37" spans="1:6" ht="41.1" customHeight="1">
      <c r="A37" s="3" t="s">
        <v>186</v>
      </c>
      <c r="B37" s="3">
        <v>29</v>
      </c>
      <c r="C37" s="2" t="s">
        <v>187</v>
      </c>
      <c r="D37" s="3" t="s">
        <v>81</v>
      </c>
      <c r="E37" s="3" t="s">
        <v>188</v>
      </c>
      <c r="F37" s="3" t="s">
        <v>189</v>
      </c>
    </row>
    <row r="38" spans="1:6" ht="41.1" customHeight="1">
      <c r="A38" s="3" t="s">
        <v>190</v>
      </c>
      <c r="B38" s="3">
        <v>27</v>
      </c>
      <c r="C38" s="2" t="s">
        <v>191</v>
      </c>
      <c r="D38" s="3" t="s">
        <v>81</v>
      </c>
      <c r="E38" s="2" t="s">
        <v>151</v>
      </c>
      <c r="F38" s="2" t="s">
        <v>192</v>
      </c>
    </row>
    <row r="39" spans="1:6" ht="41.1" customHeight="1">
      <c r="A39" s="3" t="s">
        <v>193</v>
      </c>
      <c r="B39" s="3">
        <v>24</v>
      </c>
      <c r="C39" s="8" t="s">
        <v>194</v>
      </c>
      <c r="D39" s="8" t="s">
        <v>81</v>
      </c>
      <c r="E39" s="8" t="s">
        <v>195</v>
      </c>
      <c r="F39" s="8" t="s">
        <v>83</v>
      </c>
    </row>
    <row r="40" spans="1:6" ht="41.1" customHeight="1">
      <c r="A40" s="3" t="s">
        <v>196</v>
      </c>
      <c r="B40" s="3">
        <v>16</v>
      </c>
      <c r="C40" s="2" t="s">
        <v>197</v>
      </c>
      <c r="D40" s="3" t="s">
        <v>151</v>
      </c>
      <c r="E40" s="2" t="s">
        <v>82</v>
      </c>
      <c r="F40" s="4" t="s">
        <v>198</v>
      </c>
    </row>
    <row r="41" spans="1:6" ht="41.1" customHeight="1">
      <c r="A41" s="3" t="s">
        <v>199</v>
      </c>
      <c r="B41" s="3">
        <v>15</v>
      </c>
      <c r="C41" s="2" t="s">
        <v>200</v>
      </c>
      <c r="D41" s="2" t="s">
        <v>81</v>
      </c>
      <c r="E41" s="6" t="s">
        <v>82</v>
      </c>
      <c r="F41" s="4" t="s">
        <v>201</v>
      </c>
    </row>
    <row r="42" spans="1:6" ht="41.1" customHeight="1">
      <c r="A42" s="3" t="s">
        <v>202</v>
      </c>
      <c r="B42" s="3">
        <v>13</v>
      </c>
      <c r="C42" s="2" t="s">
        <v>203</v>
      </c>
      <c r="D42" s="6" t="s">
        <v>204</v>
      </c>
      <c r="E42" s="6" t="s">
        <v>117</v>
      </c>
      <c r="F42" s="6" t="s">
        <v>83</v>
      </c>
    </row>
    <row r="43" spans="1:6" ht="41.1" customHeight="1">
      <c r="A43" s="3" t="s">
        <v>205</v>
      </c>
      <c r="B43" s="3">
        <v>13</v>
      </c>
      <c r="C43" s="2" t="s">
        <v>206</v>
      </c>
      <c r="D43" s="3" t="s">
        <v>81</v>
      </c>
      <c r="E43" s="3" t="s">
        <v>82</v>
      </c>
      <c r="F43" s="3" t="s">
        <v>83</v>
      </c>
    </row>
    <row r="44" spans="1:6" ht="41.1" customHeight="1">
      <c r="A44" s="3" t="s">
        <v>207</v>
      </c>
      <c r="B44" s="3">
        <v>12</v>
      </c>
      <c r="C44" s="2" t="s">
        <v>208</v>
      </c>
      <c r="D44" s="6" t="s">
        <v>86</v>
      </c>
      <c r="E44" s="2" t="s">
        <v>209</v>
      </c>
      <c r="F44" s="2" t="s">
        <v>210</v>
      </c>
    </row>
    <row r="45" spans="1:6" ht="41.1" customHeight="1">
      <c r="A45" s="7" t="s">
        <v>211</v>
      </c>
      <c r="B45" s="3">
        <v>11</v>
      </c>
      <c r="C45" s="4" t="s">
        <v>212</v>
      </c>
      <c r="D45" s="3" t="s">
        <v>86</v>
      </c>
      <c r="E45" s="2" t="s">
        <v>82</v>
      </c>
      <c r="F45" s="2" t="s">
        <v>213</v>
      </c>
    </row>
    <row r="46" spans="1:6" ht="41.1" customHeight="1">
      <c r="A46" s="3" t="s">
        <v>214</v>
      </c>
      <c r="B46" s="3">
        <v>11</v>
      </c>
      <c r="C46" s="2" t="s">
        <v>215</v>
      </c>
      <c r="D46" s="2" t="s">
        <v>151</v>
      </c>
      <c r="E46" s="2" t="s">
        <v>82</v>
      </c>
      <c r="F46" s="4" t="s">
        <v>216</v>
      </c>
    </row>
    <row r="47" spans="1:6" ht="41.1" customHeight="1">
      <c r="A47" s="3" t="s">
        <v>217</v>
      </c>
      <c r="B47" s="3">
        <v>10</v>
      </c>
      <c r="C47" s="4" t="s">
        <v>218</v>
      </c>
      <c r="D47" s="3" t="s">
        <v>81</v>
      </c>
      <c r="E47" s="3" t="s">
        <v>82</v>
      </c>
      <c r="F47" s="4" t="s">
        <v>219</v>
      </c>
    </row>
    <row r="48" spans="1:6" ht="41.1" customHeight="1">
      <c r="A48" s="3" t="s">
        <v>220</v>
      </c>
      <c r="B48" s="3">
        <v>10</v>
      </c>
      <c r="C48" s="2" t="s">
        <v>221</v>
      </c>
      <c r="D48" s="3" t="s">
        <v>81</v>
      </c>
      <c r="E48" s="3" t="s">
        <v>151</v>
      </c>
      <c r="F48" s="3" t="s">
        <v>83</v>
      </c>
    </row>
    <row r="49" spans="1:6" ht="41.1" customHeight="1">
      <c r="A49" s="3" t="s">
        <v>222</v>
      </c>
      <c r="B49" s="3">
        <v>9</v>
      </c>
      <c r="C49" s="4" t="s">
        <v>223</v>
      </c>
      <c r="D49" s="3" t="s">
        <v>81</v>
      </c>
      <c r="E49" s="3" t="s">
        <v>97</v>
      </c>
      <c r="F49" s="4" t="s">
        <v>224</v>
      </c>
    </row>
    <row r="50" spans="1:6" ht="41.1" customHeight="1">
      <c r="A50" s="3" t="s">
        <v>225</v>
      </c>
      <c r="B50" s="3">
        <v>9</v>
      </c>
      <c r="C50" s="4" t="s">
        <v>226</v>
      </c>
      <c r="D50" s="3" t="s">
        <v>227</v>
      </c>
      <c r="E50" s="3" t="s">
        <v>82</v>
      </c>
      <c r="F50" s="3" t="s">
        <v>228</v>
      </c>
    </row>
    <row r="51" spans="1:6" ht="41.1" customHeight="1">
      <c r="A51" s="3" t="s">
        <v>229</v>
      </c>
      <c r="B51" s="3">
        <v>9</v>
      </c>
      <c r="C51" s="2" t="s">
        <v>230</v>
      </c>
      <c r="D51" s="3" t="s">
        <v>81</v>
      </c>
      <c r="E51" s="2" t="s">
        <v>82</v>
      </c>
      <c r="F51" s="2" t="s">
        <v>83</v>
      </c>
    </row>
    <row r="52" spans="1:6" ht="41.1" customHeight="1">
      <c r="A52" s="3" t="s">
        <v>231</v>
      </c>
      <c r="B52" s="3">
        <v>9</v>
      </c>
      <c r="C52" s="4" t="s">
        <v>232</v>
      </c>
      <c r="D52" s="3" t="s">
        <v>151</v>
      </c>
      <c r="E52" s="2" t="s">
        <v>82</v>
      </c>
      <c r="F52" s="2" t="s">
        <v>233</v>
      </c>
    </row>
    <row r="53" spans="1:6" ht="41.1" customHeight="1">
      <c r="A53" s="3" t="s">
        <v>151</v>
      </c>
      <c r="B53" s="3">
        <v>8</v>
      </c>
      <c r="C53" s="4" t="s">
        <v>234</v>
      </c>
      <c r="D53" s="2" t="s">
        <v>86</v>
      </c>
      <c r="E53" s="2" t="s">
        <v>235</v>
      </c>
      <c r="F53" s="4" t="s">
        <v>160</v>
      </c>
    </row>
    <row r="54" spans="1:6" ht="41.1" customHeight="1">
      <c r="A54" s="3" t="s">
        <v>236</v>
      </c>
      <c r="B54" s="3">
        <v>8</v>
      </c>
      <c r="C54" s="2" t="s">
        <v>237</v>
      </c>
      <c r="D54" s="2" t="s">
        <v>81</v>
      </c>
      <c r="E54" s="2" t="s">
        <v>151</v>
      </c>
      <c r="F54" s="2" t="s">
        <v>238</v>
      </c>
    </row>
    <row r="55" spans="1:6" ht="41.1" customHeight="1">
      <c r="A55" s="3" t="s">
        <v>239</v>
      </c>
      <c r="B55" s="3">
        <v>6</v>
      </c>
      <c r="C55" s="4" t="s">
        <v>240</v>
      </c>
      <c r="D55" s="3" t="s">
        <v>151</v>
      </c>
      <c r="E55" s="3" t="s">
        <v>151</v>
      </c>
      <c r="F55" s="2" t="s">
        <v>83</v>
      </c>
    </row>
    <row r="56" spans="1:6" ht="41.1" customHeight="1">
      <c r="A56" s="3" t="s">
        <v>241</v>
      </c>
      <c r="B56" s="3">
        <v>6</v>
      </c>
      <c r="C56" s="4" t="s">
        <v>242</v>
      </c>
      <c r="D56" s="3" t="s">
        <v>151</v>
      </c>
      <c r="E56" s="2" t="s">
        <v>151</v>
      </c>
      <c r="F56" s="2" t="s">
        <v>83</v>
      </c>
    </row>
    <row r="57" spans="1:6" ht="41.1" customHeight="1">
      <c r="A57" s="7" t="s">
        <v>243</v>
      </c>
      <c r="B57" s="3">
        <v>4</v>
      </c>
      <c r="C57" s="4" t="s">
        <v>244</v>
      </c>
      <c r="D57" s="3" t="s">
        <v>81</v>
      </c>
      <c r="E57" s="2" t="s">
        <v>151</v>
      </c>
      <c r="F57" s="2" t="s">
        <v>83</v>
      </c>
    </row>
    <row r="58" spans="1:6" ht="41.1" customHeight="1">
      <c r="A58" s="3" t="s">
        <v>245</v>
      </c>
      <c r="B58" s="3">
        <v>4</v>
      </c>
      <c r="C58" s="2" t="s">
        <v>246</v>
      </c>
      <c r="D58" s="3" t="s">
        <v>81</v>
      </c>
      <c r="E58" s="3" t="s">
        <v>247</v>
      </c>
      <c r="F58" s="6" t="s">
        <v>98</v>
      </c>
    </row>
    <row r="59" spans="1:6" ht="41.1" customHeight="1">
      <c r="A59" s="6" t="s">
        <v>248</v>
      </c>
      <c r="B59" s="3">
        <v>3</v>
      </c>
      <c r="C59" s="4" t="s">
        <v>249</v>
      </c>
      <c r="D59" s="2" t="s">
        <v>81</v>
      </c>
      <c r="E59" s="2" t="s">
        <v>101</v>
      </c>
      <c r="F59" s="2" t="s">
        <v>83</v>
      </c>
    </row>
    <row r="60" spans="1:6" ht="41.1" customHeight="1">
      <c r="A60" s="3" t="s">
        <v>151</v>
      </c>
      <c r="B60" s="3">
        <v>3</v>
      </c>
      <c r="C60" s="4" t="s">
        <v>250</v>
      </c>
      <c r="D60" s="3" t="s">
        <v>81</v>
      </c>
      <c r="E60" s="2" t="s">
        <v>151</v>
      </c>
      <c r="F60" s="2" t="s">
        <v>102</v>
      </c>
    </row>
    <row r="61" spans="1:6" ht="41.1" customHeight="1">
      <c r="A61" s="3" t="s">
        <v>251</v>
      </c>
      <c r="B61" s="3">
        <v>2</v>
      </c>
      <c r="C61" s="2" t="s">
        <v>252</v>
      </c>
      <c r="D61" s="3" t="s">
        <v>81</v>
      </c>
      <c r="E61" s="3" t="s">
        <v>82</v>
      </c>
      <c r="F61" s="3" t="s">
        <v>83</v>
      </c>
    </row>
    <row r="62" spans="1:6" ht="41.1" customHeight="1">
      <c r="A62" s="3" t="s">
        <v>253</v>
      </c>
      <c r="B62" s="3">
        <v>2</v>
      </c>
      <c r="C62" s="2" t="s">
        <v>254</v>
      </c>
      <c r="D62" s="3" t="s">
        <v>81</v>
      </c>
      <c r="E62" s="3" t="s">
        <v>82</v>
      </c>
      <c r="F62" s="3" t="s">
        <v>83</v>
      </c>
    </row>
    <row r="63" spans="1:6" ht="41.1" customHeight="1">
      <c r="A63" s="3" t="s">
        <v>255</v>
      </c>
      <c r="B63" s="3">
        <v>2</v>
      </c>
      <c r="C63" s="2" t="s">
        <v>256</v>
      </c>
      <c r="D63" s="3" t="s">
        <v>86</v>
      </c>
      <c r="E63" s="2" t="s">
        <v>82</v>
      </c>
      <c r="F63" s="2" t="s">
        <v>94</v>
      </c>
    </row>
    <row r="64" spans="1:6" ht="41.1" customHeight="1">
      <c r="A64" s="3" t="s">
        <v>257</v>
      </c>
      <c r="B64" s="3">
        <v>2</v>
      </c>
      <c r="C64" s="2" t="s">
        <v>258</v>
      </c>
      <c r="D64" s="3" t="s">
        <v>86</v>
      </c>
      <c r="E64" s="2" t="s">
        <v>259</v>
      </c>
      <c r="F64" s="2" t="s">
        <v>83</v>
      </c>
    </row>
    <row r="65" spans="1:6" ht="41.1" customHeight="1">
      <c r="A65" s="3" t="s">
        <v>260</v>
      </c>
      <c r="B65" s="3">
        <v>2</v>
      </c>
      <c r="C65" s="6" t="s">
        <v>261</v>
      </c>
      <c r="D65" s="6" t="s">
        <v>81</v>
      </c>
      <c r="E65" s="6" t="s">
        <v>82</v>
      </c>
      <c r="F65" s="6" t="s">
        <v>262</v>
      </c>
    </row>
    <row r="66" spans="1:6" ht="41.1" customHeight="1">
      <c r="A66" s="3" t="s">
        <v>263</v>
      </c>
      <c r="B66" s="3">
        <v>2</v>
      </c>
      <c r="C66" s="2" t="s">
        <v>264</v>
      </c>
      <c r="D66" s="6" t="s">
        <v>151</v>
      </c>
      <c r="E66" s="6" t="s">
        <v>265</v>
      </c>
      <c r="F66" s="6" t="s">
        <v>266</v>
      </c>
    </row>
    <row r="67" spans="1:6" ht="41.1" customHeight="1">
      <c r="A67" s="3" t="s">
        <v>151</v>
      </c>
      <c r="B67" s="3">
        <v>1</v>
      </c>
      <c r="C67" s="4" t="s">
        <v>267</v>
      </c>
      <c r="D67" s="3" t="s">
        <v>86</v>
      </c>
      <c r="E67" s="2" t="s">
        <v>82</v>
      </c>
      <c r="F67" s="2" t="s">
        <v>94</v>
      </c>
    </row>
    <row r="68" spans="1:6" ht="41.1" customHeight="1">
      <c r="A68" s="5" t="s">
        <v>268</v>
      </c>
      <c r="B68" s="3">
        <v>1</v>
      </c>
      <c r="C68" s="2" t="s">
        <v>269</v>
      </c>
      <c r="D68" s="3" t="s">
        <v>86</v>
      </c>
      <c r="E68" s="3" t="s">
        <v>270</v>
      </c>
      <c r="F68" s="3" t="s">
        <v>83</v>
      </c>
    </row>
    <row r="69" spans="1:6" ht="41.1" customHeight="1">
      <c r="A69" s="3" t="s">
        <v>271</v>
      </c>
      <c r="B69" s="3">
        <v>1</v>
      </c>
      <c r="C69" s="4" t="s">
        <v>272</v>
      </c>
      <c r="D69" s="3" t="s">
        <v>81</v>
      </c>
      <c r="E69" s="3" t="s">
        <v>273</v>
      </c>
      <c r="F69" s="3" t="s">
        <v>83</v>
      </c>
    </row>
    <row r="70" spans="1:6" ht="41.1" customHeight="1">
      <c r="A70" s="3" t="s">
        <v>274</v>
      </c>
      <c r="B70" s="3">
        <v>1</v>
      </c>
      <c r="C70" s="4" t="s">
        <v>275</v>
      </c>
      <c r="D70" s="3" t="s">
        <v>86</v>
      </c>
      <c r="E70" s="3" t="s">
        <v>235</v>
      </c>
      <c r="F70" s="3" t="s">
        <v>83</v>
      </c>
    </row>
    <row r="71" spans="1:6" ht="41.1" customHeight="1">
      <c r="A71" s="3" t="s">
        <v>276</v>
      </c>
      <c r="B71" s="3">
        <v>1</v>
      </c>
      <c r="C71" s="2" t="s">
        <v>277</v>
      </c>
      <c r="D71" s="3" t="s">
        <v>81</v>
      </c>
      <c r="E71" s="3" t="s">
        <v>97</v>
      </c>
      <c r="F71" s="3" t="s">
        <v>83</v>
      </c>
    </row>
    <row r="72" spans="1:6" ht="41.1" customHeight="1">
      <c r="A72" s="3" t="s">
        <v>278</v>
      </c>
      <c r="B72" s="3">
        <v>1</v>
      </c>
      <c r="C72" s="4" t="s">
        <v>279</v>
      </c>
      <c r="D72" s="3" t="s">
        <v>86</v>
      </c>
      <c r="E72" s="2" t="s">
        <v>151</v>
      </c>
      <c r="F72" s="2" t="s">
        <v>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F2F6F-D8F7-40A9-8B90-1693E8CE9DF5}">
  <dimension ref="A1:G31"/>
  <sheetViews>
    <sheetView workbookViewId="0">
      <selection activeCell="J26" sqref="J26"/>
    </sheetView>
  </sheetViews>
  <sheetFormatPr defaultColWidth="8.875" defaultRowHeight="15.95"/>
  <cols>
    <col min="1" max="1" width="37" customWidth="1"/>
    <col min="2" max="2" width="15.875" customWidth="1"/>
    <col min="3" max="3" width="16.125" customWidth="1"/>
    <col min="4" max="4" width="23.375" customWidth="1"/>
  </cols>
  <sheetData>
    <row r="1" spans="1:7">
      <c r="A1" t="s">
        <v>280</v>
      </c>
      <c r="B1" t="s">
        <v>281</v>
      </c>
      <c r="C1" t="s">
        <v>282</v>
      </c>
      <c r="D1" t="s">
        <v>283</v>
      </c>
    </row>
    <row r="2" spans="1:7" ht="17.100000000000001">
      <c r="A2" t="s">
        <v>284</v>
      </c>
      <c r="B2" s="21" t="s">
        <v>285</v>
      </c>
      <c r="C2" s="21" t="s">
        <v>286</v>
      </c>
      <c r="D2" s="21">
        <v>99.844999999999999</v>
      </c>
    </row>
    <row r="3" spans="1:7" ht="17.100000000000001">
      <c r="A3" t="s">
        <v>287</v>
      </c>
      <c r="B3" s="21" t="s">
        <v>288</v>
      </c>
      <c r="C3" s="21" t="s">
        <v>289</v>
      </c>
      <c r="D3" s="21">
        <v>100</v>
      </c>
      <c r="G3" t="s">
        <v>290</v>
      </c>
    </row>
    <row r="4" spans="1:7" ht="17.100000000000001">
      <c r="B4" s="21" t="s">
        <v>288</v>
      </c>
      <c r="C4" s="21" t="s">
        <v>291</v>
      </c>
      <c r="D4" s="21">
        <v>99.578999999999994</v>
      </c>
    </row>
    <row r="5" spans="1:7" ht="17.100000000000001">
      <c r="B5" s="21" t="s">
        <v>291</v>
      </c>
      <c r="C5" s="21" t="s">
        <v>289</v>
      </c>
      <c r="D5" s="21">
        <v>99.578999999999994</v>
      </c>
    </row>
    <row r="6" spans="1:7" ht="17.100000000000001">
      <c r="A6" t="s">
        <v>292</v>
      </c>
      <c r="B6" s="21" t="s">
        <v>293</v>
      </c>
      <c r="C6" s="21" t="s">
        <v>294</v>
      </c>
      <c r="D6" s="21">
        <v>99.950999999999993</v>
      </c>
    </row>
    <row r="7" spans="1:7" ht="17.100000000000001">
      <c r="B7" s="21" t="s">
        <v>293</v>
      </c>
      <c r="C7" s="21" t="s">
        <v>295</v>
      </c>
      <c r="D7" s="21">
        <v>92.688999999999993</v>
      </c>
    </row>
    <row r="8" spans="1:7" ht="17.100000000000001">
      <c r="B8" s="21" t="s">
        <v>294</v>
      </c>
      <c r="C8" s="21" t="s">
        <v>295</v>
      </c>
      <c r="D8" s="21">
        <v>92.738</v>
      </c>
    </row>
    <row r="9" spans="1:7" ht="17.100000000000001">
      <c r="A9" t="s">
        <v>296</v>
      </c>
      <c r="B9" s="21" t="s">
        <v>297</v>
      </c>
      <c r="C9" s="21" t="s">
        <v>298</v>
      </c>
      <c r="D9" s="21">
        <v>99.91</v>
      </c>
    </row>
    <row r="10" spans="1:7" ht="17.100000000000001">
      <c r="A10" t="s">
        <v>299</v>
      </c>
      <c r="B10" s="21" t="s">
        <v>300</v>
      </c>
      <c r="C10" s="21" t="s">
        <v>301</v>
      </c>
      <c r="D10" s="21">
        <v>98.506</v>
      </c>
    </row>
    <row r="11" spans="1:7" ht="17.100000000000001">
      <c r="B11" s="21" t="s">
        <v>300</v>
      </c>
      <c r="C11" s="21" t="s">
        <v>302</v>
      </c>
      <c r="D11" s="21">
        <v>97.63</v>
      </c>
    </row>
    <row r="12" spans="1:7" ht="17.100000000000001">
      <c r="B12" s="21" t="s">
        <v>300</v>
      </c>
      <c r="C12" s="21" t="s">
        <v>303</v>
      </c>
      <c r="D12" s="21">
        <v>92.272000000000006</v>
      </c>
    </row>
    <row r="13" spans="1:7" ht="17.100000000000001">
      <c r="B13" s="21" t="s">
        <v>300</v>
      </c>
      <c r="C13" s="21" t="s">
        <v>304</v>
      </c>
      <c r="D13" s="21">
        <v>91.841999999999999</v>
      </c>
    </row>
    <row r="14" spans="1:7" ht="17.100000000000001">
      <c r="B14" s="21" t="s">
        <v>300</v>
      </c>
      <c r="C14" s="21" t="s">
        <v>305</v>
      </c>
      <c r="D14" s="21">
        <v>91.087000000000003</v>
      </c>
    </row>
    <row r="15" spans="1:7" ht="17.100000000000001">
      <c r="B15" s="21" t="s">
        <v>300</v>
      </c>
      <c r="C15" s="21" t="s">
        <v>306</v>
      </c>
      <c r="D15" s="21">
        <v>90.828999999999994</v>
      </c>
    </row>
    <row r="16" spans="1:7" ht="17.100000000000001">
      <c r="B16" s="21" t="s">
        <v>301</v>
      </c>
      <c r="C16" s="21" t="s">
        <v>302</v>
      </c>
      <c r="D16" s="21">
        <v>96.856999999999999</v>
      </c>
    </row>
    <row r="17" spans="1:4" ht="17.100000000000001">
      <c r="B17" s="21" t="s">
        <v>301</v>
      </c>
      <c r="C17" s="21" t="s">
        <v>303</v>
      </c>
      <c r="D17" s="21">
        <v>92.022999999999996</v>
      </c>
    </row>
    <row r="18" spans="1:4" ht="17.100000000000001">
      <c r="B18" s="21" t="s">
        <v>301</v>
      </c>
      <c r="C18" s="21" t="s">
        <v>304</v>
      </c>
      <c r="D18" s="21">
        <v>91.578999999999994</v>
      </c>
    </row>
    <row r="19" spans="1:4" ht="17.100000000000001">
      <c r="B19" s="21" t="s">
        <v>301</v>
      </c>
      <c r="C19" s="21" t="s">
        <v>305</v>
      </c>
      <c r="D19" s="21">
        <v>90.828999999999994</v>
      </c>
    </row>
    <row r="20" spans="1:4" ht="17.100000000000001">
      <c r="B20" s="21" t="s">
        <v>301</v>
      </c>
      <c r="C20" s="21" t="s">
        <v>306</v>
      </c>
      <c r="D20" s="21">
        <v>90.478999999999999</v>
      </c>
    </row>
    <row r="21" spans="1:4" ht="17.100000000000001">
      <c r="B21" s="21" t="s">
        <v>302</v>
      </c>
      <c r="C21" s="21" t="s">
        <v>303</v>
      </c>
      <c r="D21" s="21">
        <v>91.757000000000005</v>
      </c>
    </row>
    <row r="22" spans="1:4" ht="17.100000000000001">
      <c r="B22" s="21" t="s">
        <v>302</v>
      </c>
      <c r="C22" s="21" t="s">
        <v>304</v>
      </c>
      <c r="D22" s="21">
        <v>91.477999999999994</v>
      </c>
    </row>
    <row r="23" spans="1:4" ht="17.100000000000001">
      <c r="B23" s="21" t="s">
        <v>302</v>
      </c>
      <c r="C23" s="21" t="s">
        <v>305</v>
      </c>
      <c r="D23" s="21">
        <v>90.674999999999997</v>
      </c>
    </row>
    <row r="24" spans="1:4" ht="17.100000000000001">
      <c r="B24" s="21" t="s">
        <v>302</v>
      </c>
      <c r="C24" s="21" t="s">
        <v>306</v>
      </c>
      <c r="D24" s="21">
        <v>90.366</v>
      </c>
    </row>
    <row r="25" spans="1:4" ht="17.100000000000001">
      <c r="B25" s="21" t="s">
        <v>303</v>
      </c>
      <c r="C25" s="21" t="s">
        <v>304</v>
      </c>
      <c r="D25" s="21">
        <v>94.632000000000005</v>
      </c>
    </row>
    <row r="26" spans="1:4" ht="17.100000000000001">
      <c r="B26" s="21" t="s">
        <v>303</v>
      </c>
      <c r="C26" s="21" t="s">
        <v>305</v>
      </c>
      <c r="D26" s="21">
        <v>92.89</v>
      </c>
    </row>
    <row r="27" spans="1:4" ht="17.100000000000001">
      <c r="B27" s="21" t="s">
        <v>303</v>
      </c>
      <c r="C27" s="21" t="s">
        <v>306</v>
      </c>
      <c r="D27" s="21">
        <v>92.588999999999999</v>
      </c>
    </row>
    <row r="28" spans="1:4" ht="17.100000000000001">
      <c r="B28" s="21" t="s">
        <v>304</v>
      </c>
      <c r="C28" s="21" t="s">
        <v>305</v>
      </c>
      <c r="D28" s="21">
        <v>92.841999999999999</v>
      </c>
    </row>
    <row r="29" spans="1:4" ht="17.100000000000001">
      <c r="B29" s="21" t="s">
        <v>304</v>
      </c>
      <c r="C29" s="21" t="s">
        <v>306</v>
      </c>
      <c r="D29" s="21">
        <v>92.421000000000006</v>
      </c>
    </row>
    <row r="30" spans="1:4" ht="17.100000000000001">
      <c r="B30" s="21" t="s">
        <v>305</v>
      </c>
      <c r="C30" s="21" t="s">
        <v>306</v>
      </c>
      <c r="D30" s="21">
        <v>98.2</v>
      </c>
    </row>
    <row r="31" spans="1:4">
      <c r="A31" t="s">
        <v>307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691488b-3dd8-43fd-b5f5-646823e2c29f">
      <Terms xmlns="http://schemas.microsoft.com/office/infopath/2007/PartnerControls"/>
    </lcf76f155ced4ddcb4097134ff3c332f>
    <TaxCatchAll xmlns="a046886a-180d-4fc1-a6d0-e96a37e968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6E53307F14164BBA3202DD555B66FC" ma:contentTypeVersion="12" ma:contentTypeDescription="Create a new document." ma:contentTypeScope="" ma:versionID="0fb955171c2d2d6f6906c6f16fff743d">
  <xsd:schema xmlns:xsd="http://www.w3.org/2001/XMLSchema" xmlns:xs="http://www.w3.org/2001/XMLSchema" xmlns:p="http://schemas.microsoft.com/office/2006/metadata/properties" xmlns:ns2="2691488b-3dd8-43fd-b5f5-646823e2c29f" xmlns:ns3="a046886a-180d-4fc1-a6d0-e96a37e96865" targetNamespace="http://schemas.microsoft.com/office/2006/metadata/properties" ma:root="true" ma:fieldsID="c487210bddde17f76e42b1e6eb287d30" ns2:_="" ns3:_="">
    <xsd:import namespace="2691488b-3dd8-43fd-b5f5-646823e2c29f"/>
    <xsd:import namespace="a046886a-180d-4fc1-a6d0-e96a37e96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1488b-3dd8-43fd-b5f5-646823e2c2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6886a-180d-4fc1-a6d0-e96a37e9686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6365f4f-9de8-4e55-b425-fb3ffe309d64}" ma:internalName="TaxCatchAll" ma:showField="CatchAllData" ma:web="a046886a-180d-4fc1-a6d0-e96a37e96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B9679A-D51F-447F-93C1-A19C5B2235EB}"/>
</file>

<file path=customXml/itemProps2.xml><?xml version="1.0" encoding="utf-8"?>
<ds:datastoreItem xmlns:ds="http://schemas.openxmlformats.org/officeDocument/2006/customXml" ds:itemID="{88D21B7F-17C7-44E2-BB80-2FF62049EBCB}"/>
</file>

<file path=customXml/itemProps3.xml><?xml version="1.0" encoding="utf-8"?>
<ds:datastoreItem xmlns:ds="http://schemas.openxmlformats.org/officeDocument/2006/customXml" ds:itemID="{208B3D5A-67FF-4BB3-901D-54C3C2E175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Daigle, Elizabeth Harris</dc:creator>
  <cp:keywords/>
  <dc:description/>
  <cp:lastModifiedBy/>
  <cp:revision/>
  <dcterms:created xsi:type="dcterms:W3CDTF">2026-05-11T16:16:19Z</dcterms:created>
  <dcterms:modified xsi:type="dcterms:W3CDTF">2026-05-21T16:36:53Z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0x0101006F6E53307F14164BBA3202DD555B66FC</vt:lpwstr>
  </property>
  <property fmtid="{D5CDD505-2E9C-101B-9397-08002B2CF9AE}" pid="3" name="MediaServiceImageTags">
    <vt:lpwstr/>
  </property>
</Properties>
</file>